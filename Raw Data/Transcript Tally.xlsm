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66" codeName="{F2B83AC3-3A92-4FF1-8D57-CA5CB3A19BB1}"/>
  <workbookPr codeName="ThisWorkbook" defaultThemeVersion="166925"/>
  <mc:AlternateContent xmlns:mc="http://schemas.openxmlformats.org/markup-compatibility/2006">
    <mc:Choice Requires="x15">
      <x15ac:absPath xmlns:x15ac="http://schemas.microsoft.com/office/spreadsheetml/2010/11/ac" url="C:\Users\Amanda\Downloads\Work\Tintin\"/>
    </mc:Choice>
  </mc:AlternateContent>
  <bookViews>
    <workbookView xWindow="7440" yWindow="0" windowWidth="27870" windowHeight="12795" firstSheet="1" activeTab="6"/>
  </bookViews>
  <sheets>
    <sheet name="Key Questions" sheetId="1" r:id="rId1"/>
    <sheet name="Q4 Segments" sheetId="6" r:id="rId2"/>
    <sheet name="Q4 Color-TV" sheetId="5" r:id="rId3"/>
    <sheet name="Key Questions Tally-TV" sheetId="3" r:id="rId4"/>
    <sheet name="Q4 Tally-TV" sheetId="4" r:id="rId5"/>
    <sheet name="Key Questions Tally-TFATJ" sheetId="7" r:id="rId6"/>
    <sheet name="Q4 Tally-TFATJ" sheetId="10" r:id="rId7"/>
    <sheet name="Key Questions Tally-MFTS" sheetId="8" r:id="rId8"/>
    <sheet name="Q4 Tally-MFTS" sheetId="9" r:id="rId9"/>
  </sheets>
  <functionGroups builtInGroupCount="18"/>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5" i="10" l="1"/>
  <c r="C26" i="10"/>
  <c r="E26" i="10" s="1"/>
  <c r="G26" i="10" s="1"/>
  <c r="I26" i="10" s="1"/>
  <c r="K26" i="10" s="1"/>
  <c r="M26" i="10" s="1"/>
  <c r="O26" i="10" s="1"/>
  <c r="Q26" i="10" s="1"/>
  <c r="S26" i="10" s="1"/>
  <c r="U26" i="10" s="1"/>
  <c r="W26" i="10" s="1"/>
  <c r="Y26" i="10" s="1"/>
  <c r="AA26" i="10" s="1"/>
  <c r="AC26" i="10" s="1"/>
  <c r="AE26" i="10" s="1"/>
  <c r="AG26" i="10" s="1"/>
  <c r="AI26" i="10" s="1"/>
  <c r="AK26" i="10" s="1"/>
  <c r="AM26" i="10" s="1"/>
  <c r="C15" i="10"/>
  <c r="E15" i="10" s="1"/>
  <c r="G15" i="10" s="1"/>
  <c r="I15" i="10" s="1"/>
  <c r="K15" i="10" s="1"/>
  <c r="M15" i="10" s="1"/>
  <c r="O15" i="10" s="1"/>
  <c r="Q15" i="10" s="1"/>
  <c r="S15" i="10" s="1"/>
  <c r="U15" i="10" s="1"/>
  <c r="W15" i="10" s="1"/>
  <c r="Y15" i="10" s="1"/>
  <c r="AA15" i="10" s="1"/>
  <c r="AC15" i="10" s="1"/>
  <c r="AE15" i="10" s="1"/>
  <c r="AG15" i="10" s="1"/>
  <c r="AI15" i="10" s="1"/>
  <c r="AK15" i="10" s="1"/>
  <c r="AM15" i="10" s="1"/>
  <c r="C4" i="10"/>
  <c r="E4" i="10" s="1"/>
  <c r="G4" i="10" s="1"/>
  <c r="I4" i="10" s="1"/>
  <c r="K4" i="10" s="1"/>
  <c r="M4" i="10" s="1"/>
  <c r="O4" i="10" s="1"/>
  <c r="Q4" i="10" s="1"/>
  <c r="S4" i="10" s="1"/>
  <c r="U4" i="10" s="1"/>
  <c r="W4" i="10" s="1"/>
  <c r="Y4" i="10" s="1"/>
  <c r="AA4" i="10" s="1"/>
  <c r="AC4" i="10" s="1"/>
  <c r="AE4" i="10" s="1"/>
  <c r="AG4" i="10" s="1"/>
  <c r="AI4" i="10" s="1"/>
  <c r="AK4" i="10" s="1"/>
  <c r="AM4" i="10" s="1"/>
  <c r="C29" i="9"/>
  <c r="C20" i="9"/>
  <c r="E20" i="9" s="1"/>
  <c r="G20" i="9" s="1"/>
  <c r="I20" i="9" s="1"/>
  <c r="K20" i="9" s="1"/>
  <c r="M20" i="9" s="1"/>
  <c r="O20" i="9" s="1"/>
  <c r="Q20" i="9" s="1"/>
  <c r="S20" i="9" s="1"/>
  <c r="U20" i="9" s="1"/>
  <c r="W20" i="9" s="1"/>
  <c r="Y20" i="9" s="1"/>
  <c r="AA20" i="9" s="1"/>
  <c r="AC20" i="9" s="1"/>
  <c r="AE20" i="9" s="1"/>
  <c r="AG20" i="9" s="1"/>
  <c r="AI20" i="9" s="1"/>
  <c r="AK20" i="9" s="1"/>
  <c r="AM20" i="9" s="1"/>
  <c r="C10" i="9"/>
  <c r="E10" i="9" s="1"/>
  <c r="G10" i="9" s="1"/>
  <c r="I10" i="9" s="1"/>
  <c r="K10" i="9" s="1"/>
  <c r="M10" i="9" s="1"/>
  <c r="O10" i="9" s="1"/>
  <c r="Q10" i="9" s="1"/>
  <c r="S10" i="9" s="1"/>
  <c r="U10" i="9" s="1"/>
  <c r="W10" i="9" s="1"/>
  <c r="Y10" i="9" s="1"/>
  <c r="AA10" i="9" s="1"/>
  <c r="AC10" i="9" s="1"/>
  <c r="AE10" i="9" s="1"/>
  <c r="AG10" i="9" s="1"/>
  <c r="AI10" i="9" s="1"/>
  <c r="AK10" i="9" s="1"/>
  <c r="AM10" i="9" s="1"/>
  <c r="C4" i="9"/>
  <c r="E4" i="9" s="1"/>
  <c r="G4" i="9" s="1"/>
  <c r="I4" i="9" s="1"/>
  <c r="K4" i="9" s="1"/>
  <c r="M4" i="9" s="1"/>
  <c r="O4" i="9" s="1"/>
  <c r="Q4" i="9" s="1"/>
  <c r="S4" i="9" s="1"/>
  <c r="U4" i="9" s="1"/>
  <c r="W4" i="9" s="1"/>
  <c r="Y4" i="9" s="1"/>
  <c r="AA4" i="9" s="1"/>
  <c r="AC4" i="9" s="1"/>
  <c r="AE4" i="9" s="1"/>
  <c r="AG4" i="9" s="1"/>
  <c r="AI4" i="9" s="1"/>
  <c r="AK4" i="9" s="1"/>
  <c r="AM4" i="9" s="1"/>
  <c r="B119" i="8" l="1"/>
  <c r="B118" i="8"/>
  <c r="B115" i="8"/>
  <c r="B114" i="8"/>
  <c r="B145" i="7" l="1"/>
  <c r="B144" i="7"/>
  <c r="B141" i="7"/>
  <c r="B140" i="7"/>
  <c r="A47" i="1"/>
  <c r="A48" i="1" s="1"/>
  <c r="A41" i="1"/>
  <c r="A42" i="1" s="1"/>
  <c r="A43" i="1" s="1"/>
  <c r="A42" i="6"/>
  <c r="A43" i="6" s="1"/>
  <c r="A44" i="6" s="1"/>
  <c r="A45" i="6" s="1"/>
  <c r="B141" i="3" l="1"/>
  <c r="B140" i="3"/>
  <c r="B137" i="3"/>
  <c r="B136" i="3"/>
  <c r="A32" i="5" l="1"/>
  <c r="A33" i="5"/>
  <c r="G34" i="5"/>
  <c r="D34" i="5"/>
  <c r="F34" i="5"/>
  <c r="E34" i="5"/>
  <c r="A17" i="5" l="1"/>
  <c r="A18" i="5" s="1"/>
  <c r="A19" i="5" s="1"/>
  <c r="A20" i="5" s="1"/>
  <c r="A21" i="5" s="1"/>
  <c r="A22" i="5" s="1"/>
  <c r="A23" i="5" s="1"/>
  <c r="A24" i="5" s="1"/>
  <c r="A25" i="5" s="1"/>
  <c r="A26" i="5" s="1"/>
  <c r="A27" i="5" s="1"/>
  <c r="A28" i="5" s="1"/>
  <c r="A29" i="5" s="1"/>
  <c r="A30" i="5" s="1"/>
  <c r="A31" i="5" s="1"/>
  <c r="A5" i="6"/>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8" i="6" s="1"/>
  <c r="A39" i="6" s="1"/>
  <c r="E1" i="6"/>
  <c r="F1" i="6" s="1"/>
  <c r="G1" i="6" s="1"/>
  <c r="H1" i="6" s="1"/>
  <c r="I1" i="6" s="1"/>
  <c r="J1" i="6" s="1"/>
  <c r="K1" i="6" s="1"/>
  <c r="L1" i="6" s="1"/>
  <c r="M1" i="6" s="1"/>
  <c r="N1" i="6" s="1"/>
  <c r="O1" i="6" s="1"/>
  <c r="P1" i="6" s="1"/>
  <c r="Q1" i="6" s="1"/>
  <c r="R1" i="6" s="1"/>
  <c r="S1" i="6" s="1"/>
  <c r="T1" i="6" s="1"/>
  <c r="U1" i="6" s="1"/>
  <c r="V1" i="6" s="1"/>
  <c r="W1" i="6" s="1"/>
  <c r="X1" i="6" s="1"/>
  <c r="Y1" i="6" s="1"/>
  <c r="Z1" i="6" s="1"/>
  <c r="AA1" i="6" s="1"/>
  <c r="AB1" i="6" s="1"/>
  <c r="AC1" i="6" s="1"/>
  <c r="AD1" i="6" s="1"/>
  <c r="AE1" i="6" s="1"/>
  <c r="AF1" i="6" s="1"/>
  <c r="AG1" i="6" s="1"/>
  <c r="AH1" i="6" s="1"/>
  <c r="AI1" i="6" s="1"/>
  <c r="AJ1" i="6" s="1"/>
  <c r="AK1" i="6" s="1"/>
  <c r="AL1" i="6" s="1"/>
  <c r="AM1" i="6" s="1"/>
  <c r="AN1" i="6" s="1"/>
  <c r="AO1" i="6" s="1"/>
  <c r="AP1" i="6" s="1"/>
  <c r="AQ1" i="6" s="1"/>
  <c r="AR1" i="6" s="1"/>
  <c r="AS1" i="6" s="1"/>
  <c r="AT1" i="6" s="1"/>
  <c r="AU1" i="6" s="1"/>
  <c r="AV1" i="6" s="1"/>
  <c r="AW1" i="6" s="1"/>
  <c r="AX1" i="6" s="1"/>
  <c r="AY1" i="6" s="1"/>
  <c r="AZ1" i="6" s="1"/>
  <c r="BA1" i="6" s="1"/>
  <c r="BB1" i="6" s="1"/>
  <c r="BC1" i="6" s="1"/>
  <c r="BD1" i="6" s="1"/>
  <c r="BE1" i="6" s="1"/>
  <c r="BF1" i="6" s="1"/>
  <c r="BG1" i="6" s="1"/>
  <c r="BH1" i="6" s="1"/>
  <c r="BI1" i="6" s="1"/>
  <c r="BJ1" i="6" s="1"/>
  <c r="BK1" i="6" s="1"/>
  <c r="BL1" i="6" s="1"/>
  <c r="BM1" i="6" s="1"/>
  <c r="BN1" i="6" s="1"/>
  <c r="BO1" i="6" s="1"/>
  <c r="BP1" i="6" s="1"/>
  <c r="BQ1" i="6" s="1"/>
  <c r="BR1" i="6" s="1"/>
  <c r="BS1" i="6" s="1"/>
  <c r="BT1" i="6" s="1"/>
  <c r="D1" i="6"/>
  <c r="A40" i="6" l="1"/>
  <c r="A41" i="6" s="1"/>
  <c r="A48" i="6" s="1"/>
  <c r="A49" i="6" s="1"/>
  <c r="A50" i="6" s="1"/>
  <c r="A51" i="6" s="1"/>
  <c r="S34" i="5"/>
  <c r="AP34" i="5"/>
  <c r="BN34" i="5"/>
  <c r="BK34" i="5"/>
  <c r="BB34" i="5"/>
  <c r="AE34" i="5"/>
  <c r="BS34" i="5"/>
  <c r="AB34" i="5"/>
  <c r="H34" i="5"/>
  <c r="BJ34" i="5"/>
  <c r="AA34" i="5"/>
  <c r="V34" i="5"/>
  <c r="BM34" i="5"/>
  <c r="AF34" i="5"/>
  <c r="BL34" i="5"/>
  <c r="AR34" i="5"/>
  <c r="BD34" i="5"/>
  <c r="AM34" i="5"/>
  <c r="K34" i="5"/>
  <c r="AV34" i="5"/>
  <c r="N34" i="5"/>
  <c r="AJ34" i="5"/>
  <c r="W34" i="5"/>
  <c r="AI34" i="5"/>
  <c r="C34" i="5"/>
  <c r="BA34" i="5"/>
  <c r="AL34" i="5"/>
  <c r="Q34" i="5"/>
  <c r="O34" i="5"/>
  <c r="AN34" i="5"/>
  <c r="BR34" i="5"/>
  <c r="BG34" i="5"/>
  <c r="R34" i="5"/>
  <c r="BT34" i="5"/>
  <c r="U34" i="5"/>
  <c r="Z34" i="5"/>
  <c r="BU34" i="5"/>
  <c r="L34" i="5"/>
  <c r="BO34" i="5"/>
  <c r="BH34" i="5"/>
  <c r="M34" i="5"/>
  <c r="AZ34" i="5"/>
  <c r="BC34" i="5"/>
  <c r="AY34" i="5"/>
  <c r="X34" i="5"/>
  <c r="AD34" i="5"/>
  <c r="AS34" i="5"/>
  <c r="BE34" i="5"/>
  <c r="P34" i="5"/>
  <c r="J34" i="5"/>
  <c r="T34" i="5"/>
  <c r="AG34" i="5"/>
  <c r="AX34" i="5"/>
  <c r="BF34" i="5"/>
  <c r="AQ34" i="5"/>
  <c r="BI34" i="5"/>
  <c r="BV34" i="5"/>
  <c r="AH34" i="5"/>
  <c r="BQ34" i="5"/>
  <c r="AW34" i="5"/>
  <c r="Y34" i="5"/>
  <c r="AK34" i="5"/>
  <c r="I34" i="5"/>
  <c r="AC34" i="5"/>
  <c r="AT34" i="5"/>
  <c r="AO34" i="5"/>
  <c r="BP34" i="5"/>
  <c r="AU34" i="5"/>
  <c r="C84" i="4" l="1"/>
  <c r="E84" i="4" s="1"/>
  <c r="G84" i="4" s="1"/>
  <c r="I84" i="4" s="1"/>
  <c r="K84" i="4" s="1"/>
  <c r="M84" i="4" s="1"/>
  <c r="O84" i="4" s="1"/>
  <c r="Q84" i="4" s="1"/>
  <c r="S84" i="4" s="1"/>
  <c r="U84" i="4" s="1"/>
  <c r="W84" i="4" s="1"/>
  <c r="C58" i="4"/>
  <c r="E58" i="4" s="1"/>
  <c r="G58" i="4" s="1"/>
  <c r="I58" i="4" s="1"/>
  <c r="K58" i="4" s="1"/>
  <c r="M58" i="4" s="1"/>
  <c r="O58" i="4" s="1"/>
  <c r="Q58" i="4" s="1"/>
  <c r="S58" i="4" s="1"/>
  <c r="U58" i="4" s="1"/>
  <c r="W58" i="4" s="1"/>
  <c r="Y58" i="4" s="1"/>
  <c r="AA58" i="4" s="1"/>
  <c r="AC58" i="4" s="1"/>
  <c r="AE58" i="4" s="1"/>
  <c r="AG58" i="4" s="1"/>
  <c r="AI58" i="4" s="1"/>
  <c r="AK58" i="4" s="1"/>
  <c r="AM58" i="4" s="1"/>
  <c r="C31" i="4"/>
  <c r="E31" i="4" s="1"/>
  <c r="G31" i="4" s="1"/>
  <c r="I31" i="4" s="1"/>
  <c r="K31" i="4" s="1"/>
  <c r="M31" i="4" s="1"/>
  <c r="O31" i="4" s="1"/>
  <c r="Q31" i="4" s="1"/>
  <c r="S31" i="4" s="1"/>
  <c r="U31" i="4" s="1"/>
  <c r="W31" i="4" s="1"/>
  <c r="Y31" i="4" s="1"/>
  <c r="AA31" i="4" s="1"/>
  <c r="AC31" i="4" s="1"/>
  <c r="AE31" i="4" s="1"/>
  <c r="AG31" i="4" s="1"/>
  <c r="AI31" i="4" s="1"/>
  <c r="AK31" i="4" s="1"/>
  <c r="AM31" i="4" s="1"/>
  <c r="C4" i="4"/>
  <c r="E4" i="4" s="1"/>
  <c r="G4" i="4" s="1"/>
  <c r="I4" i="4" s="1"/>
  <c r="K4" i="4" s="1"/>
  <c r="M4" i="4" s="1"/>
  <c r="O4" i="4" s="1"/>
  <c r="Q4" i="4" s="1"/>
  <c r="S4" i="4" s="1"/>
  <c r="U4" i="4" s="1"/>
  <c r="W4" i="4" s="1"/>
  <c r="Y4" i="4" s="1"/>
  <c r="AA4" i="4" s="1"/>
  <c r="AC4" i="4" s="1"/>
  <c r="AE4" i="4" s="1"/>
  <c r="AG4" i="4" s="1"/>
  <c r="AI4" i="4" s="1"/>
  <c r="AK4" i="4" s="1"/>
  <c r="AM4" i="4" s="1"/>
  <c r="A3" i="5" l="1"/>
  <c r="A4" i="5" s="1"/>
  <c r="A5" i="5" s="1"/>
  <c r="A6" i="5" s="1"/>
  <c r="A7" i="5" s="1"/>
  <c r="A8" i="5" s="1"/>
  <c r="A9" i="5" s="1"/>
  <c r="A10" i="5" s="1"/>
  <c r="A11" i="5" s="1"/>
  <c r="A12" i="5" s="1"/>
  <c r="A13" i="5" s="1"/>
  <c r="A14" i="5" s="1"/>
  <c r="A15" i="5" s="1"/>
  <c r="A16" i="5" s="1"/>
  <c r="D1" i="5"/>
  <c r="E1" i="5" s="1"/>
  <c r="F1" i="5" s="1"/>
  <c r="G1" i="5" s="1"/>
  <c r="H1" i="5" s="1"/>
  <c r="I1" i="5" s="1"/>
  <c r="J1" i="5" s="1"/>
  <c r="K1" i="5" s="1"/>
  <c r="L1" i="5" s="1"/>
  <c r="M1" i="5" s="1"/>
  <c r="N1" i="5" s="1"/>
  <c r="O1" i="5" s="1"/>
  <c r="P1" i="5" s="1"/>
  <c r="Q1" i="5" s="1"/>
  <c r="R1" i="5" s="1"/>
  <c r="S1" i="5" s="1"/>
  <c r="T1" i="5" s="1"/>
  <c r="U1" i="5" s="1"/>
  <c r="V1" i="5" s="1"/>
  <c r="W1" i="5" s="1"/>
  <c r="X1" i="5" s="1"/>
  <c r="Y1" i="5" s="1"/>
  <c r="Z1" i="5" s="1"/>
  <c r="AA1" i="5" s="1"/>
  <c r="AB1" i="5" s="1"/>
  <c r="AC1" i="5" s="1"/>
  <c r="AD1" i="5" s="1"/>
  <c r="AE1" i="5" s="1"/>
  <c r="AF1" i="5" s="1"/>
  <c r="AG1" i="5" s="1"/>
  <c r="AH1" i="5" s="1"/>
  <c r="AI1" i="5" s="1"/>
  <c r="AJ1" i="5" s="1"/>
  <c r="AK1" i="5" s="1"/>
  <c r="AL1" i="5" s="1"/>
  <c r="AM1" i="5" s="1"/>
  <c r="AN1" i="5" s="1"/>
  <c r="AO1" i="5" s="1"/>
  <c r="AP1" i="5" s="1"/>
  <c r="AQ1" i="5" s="1"/>
  <c r="AR1" i="5" s="1"/>
  <c r="AS1" i="5" s="1"/>
  <c r="AT1" i="5" s="1"/>
  <c r="AU1" i="5" s="1"/>
  <c r="AV1" i="5" s="1"/>
  <c r="AW1" i="5" s="1"/>
  <c r="AX1" i="5" s="1"/>
  <c r="AY1" i="5" s="1"/>
  <c r="AZ1" i="5" s="1"/>
  <c r="BA1" i="5" s="1"/>
  <c r="BB1" i="5" s="1"/>
  <c r="BC1" i="5" s="1"/>
  <c r="BD1" i="5" s="1"/>
  <c r="BE1" i="5" s="1"/>
  <c r="BF1" i="5" s="1"/>
  <c r="BG1" i="5" s="1"/>
  <c r="BH1" i="5" s="1"/>
  <c r="BI1" i="5" s="1"/>
  <c r="BJ1" i="5" s="1"/>
  <c r="BK1" i="5" s="1"/>
  <c r="BL1" i="5" s="1"/>
  <c r="BM1" i="5" s="1"/>
  <c r="BN1" i="5" s="1"/>
  <c r="BO1" i="5" s="1"/>
  <c r="BP1" i="5" s="1"/>
  <c r="BQ1" i="5" s="1"/>
  <c r="BR1" i="5" s="1"/>
  <c r="BS1" i="5" s="1"/>
  <c r="BT1" i="5" s="1"/>
  <c r="A4" i="1" l="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6" i="1" s="1"/>
  <c r="A37" i="1" s="1"/>
  <c r="A38" i="1" s="1"/>
  <c r="A39" i="1" s="1"/>
  <c r="A40" i="1" s="1"/>
  <c r="A45" i="1" s="1"/>
  <c r="A46" i="1" s="1"/>
</calcChain>
</file>

<file path=xl/sharedStrings.xml><?xml version="1.0" encoding="utf-8"?>
<sst xmlns="http://schemas.openxmlformats.org/spreadsheetml/2006/main" count="2570" uniqueCount="1333">
  <si>
    <t>Jan</t>
  </si>
  <si>
    <t>Jaymee</t>
  </si>
  <si>
    <t>Joseph</t>
  </si>
  <si>
    <t>Kim</t>
  </si>
  <si>
    <t>Laurence</t>
  </si>
  <si>
    <t>Lizale</t>
  </si>
  <si>
    <t>Lyann</t>
  </si>
  <si>
    <t>Lynette</t>
  </si>
  <si>
    <t>Maureen</t>
  </si>
  <si>
    <t>Naomi</t>
  </si>
  <si>
    <t>Rhei</t>
  </si>
  <si>
    <t>Roscoe</t>
  </si>
  <si>
    <t>Saira</t>
  </si>
  <si>
    <t>Stephanie</t>
  </si>
  <si>
    <t>Theresa</t>
  </si>
  <si>
    <t>1. Do you think that the following has 
affected your emotional response in any way?</t>
  </si>
  <si>
    <t>3. What aspects of the story 
affected your emotional response?</t>
  </si>
  <si>
    <t xml:space="preserve">2. How do you usually 
read? </t>
  </si>
  <si>
    <t>5. Describe your overall experience</t>
  </si>
  <si>
    <t xml:space="preserve"> 6. Do you have any other comments or suggestions?</t>
  </si>
  <si>
    <t>1. How was the read-annotate-read-annotate process?</t>
  </si>
  <si>
    <t>Main Questions</t>
  </si>
  <si>
    <t>Other Questions</t>
  </si>
  <si>
    <t>Key Points</t>
  </si>
  <si>
    <t>2. Yes/No: Based on how they answered, do you think they were very engaged/captivated by the story?</t>
  </si>
  <si>
    <r>
      <t>1.</t>
    </r>
    <r>
      <rPr>
        <sz val="7"/>
        <color rgb="FFFF0000"/>
        <rFont val="Calibri Light"/>
        <family val="2"/>
        <scheme val="major"/>
      </rPr>
      <t xml:space="preserve">    </t>
    </r>
    <r>
      <rPr>
        <sz val="11"/>
        <color rgb="FFFF0000"/>
        <rFont val="Calibri Light"/>
        <family val="2"/>
        <scheme val="major"/>
      </rPr>
      <t>Yes/No: Were they in a “comfortable position” while they were reading the story?</t>
    </r>
  </si>
  <si>
    <t>describes and foreshadows towards the end (describing the jungle, describing the technology during the setting, reader feels tension building up as soon 
as they enter the room and you read that there are screams)</t>
  </si>
  <si>
    <t>went whoa when the kid said it's not africa. Reader felt like there's something wrong. These portions solidified the reader's thoughts that there's something happening with the kids that the parents don't know about.</t>
  </si>
  <si>
    <t>amused that they had 
different reactions</t>
  </si>
  <si>
    <t>reader noticed the difference from the first part, which focused on the technology, 
versus here where they start to realize the bad things happening because of the technology</t>
  </si>
  <si>
    <t>reader can feel the themes when they enter the room, 
and it enhances the fear especially the lions were mentioned (esp. 25 where the room should listen to what you want but the room did not listen, 27 - interest piqued when the kids returned and made reader wonder how the story will turn out next)</t>
  </si>
  <si>
    <t>screams</t>
  </si>
  <si>
    <t>the dialogue 
exchange felt like the child was so sinister</t>
  </si>
  <si>
    <t>they're trying to resolve the problem within the family
47 - introduction of a new character
oh shit moments from the dialogues that build up what's going to happen next</t>
  </si>
  <si>
    <t>frustrating because
the parents couldn't see what's happening with the kids</t>
  </si>
  <si>
    <t>They would become real --&gt; the reader was then sure that she knows what's going to happen next
build up from the children's tantrums</t>
  </si>
  <si>
    <t>it feels creepy because the children are just so chill 
(feels like killer kids from what she watched before)</t>
  </si>
  <si>
    <t xml:space="preserve">reader already expects 
that there's something wrong </t>
  </si>
  <si>
    <t>Environment: yes, but minimal. Does not affect emotions
Headset: digs into the head halfway through
Software: ok but yes/no checkbox is hard to notice</t>
  </si>
  <si>
    <t>~prefers to have a hole to lean head on
~lying on the bed</t>
  </si>
  <si>
    <t>Character: 
technology and emotions running through parents and kids</t>
  </si>
  <si>
    <t>~Excited at the start
~Writing style is ok
~Annotation is a bit hard - hard to decide what corresponds to her feelings
~environment very cold at the end</t>
  </si>
  <si>
    <t>n/a</t>
  </si>
  <si>
    <t>no</t>
  </si>
  <si>
    <t>yes</t>
  </si>
  <si>
    <t>theyre not used to doing the usual things like cooking
irritating because they're putting all the responsibilities into the machines
17: it's possible that the lions are true, so reader was made to think
18, 19: the way they explained the scene because it feels real</t>
  </si>
  <si>
    <t>the kids lied that there's no africa, but turns out they changed it
34: blood smears in the wallet
35, 36: 'she changed when we changed the scene'</t>
  </si>
  <si>
    <t>the screams
42: saddening that the relationship with parents went downhill</t>
  </si>
  <si>
    <t>screams, and the pattern by which
screams appear</t>
  </si>
  <si>
    <t>when he said it's a serious case and it's not 
the usual tantrums, and that they're now treating the nursery room as the parent</t>
  </si>
  <si>
    <t xml:space="preserve">lions looked as if 
they're real </t>
  </si>
  <si>
    <t>mom didn’t understand
why the dad wanted to shut down the nursery. Irritating that she wants to turn it on</t>
  </si>
  <si>
    <t>when the children shouted, 
reader thought something would happen</t>
  </si>
  <si>
    <t>it feels like the children have no emotion
and are just selfish</t>
  </si>
  <si>
    <t>they saw fantasies brought to life 
(aladdin, etc)</t>
  </si>
  <si>
    <t>fantasies 
brought to life</t>
  </si>
  <si>
    <t>about IQ, 
and that it sounded monotonous</t>
  </si>
  <si>
    <t>reader thought it was unusual for a person to not do anything 
8: was surprised that someone screamed 
9: got shocked that the nursery room was the setting for the things that come out</t>
  </si>
  <si>
    <t>they explained what 
was inside the nursery and how it looks like</t>
  </si>
  <si>
    <t>it's weird seeing lions and they didn't know if it was true or fake</t>
  </si>
  <si>
    <t>they explained 
that you can use your imagination in the nursery and what kind of setting it would generate</t>
  </si>
  <si>
    <t>at first, reader thought
they were being attacked by lions and that things were real. Then the child explained that it wasn’t real and just imagination.</t>
  </si>
  <si>
    <t>they felt it was time for a vacation after what they felt in the 
past segments</t>
  </si>
  <si>
    <t>reader likes george's 
explanation that too much of anything isn't good for anyone</t>
  </si>
  <si>
    <t>there were a lot 
of characters included in the imagination</t>
  </si>
  <si>
    <t>children and parents saw different scenes</t>
  </si>
  <si>
    <t>until now, they still don't 
know why it changes from africa to something else</t>
  </si>
  <si>
    <t>reader likes the explanation
where the kids said there was no africa and they didn’t do anything in the past segments</t>
  </si>
  <si>
    <t>intense happenings, 
reader anticipates what would happen next</t>
  </si>
  <si>
    <t>it was explained how 
the nursery changed the kids - that they weren't good parents so the children's imagination become something else</t>
  </si>
  <si>
    <t>the son wished
that the dad would die because of what he did to the nursery</t>
  </si>
  <si>
    <t>children getting
 angry at parents for closing the nursery</t>
  </si>
  <si>
    <t>reader was excited on what would 
happen to the next segment because it didn’t end here</t>
  </si>
  <si>
    <t xml:space="preserve">Environment: can focus more because quiet
Headset: hurts a bit
Software: </t>
  </si>
  <si>
    <t xml:space="preserve">~book/ebook
~lying down/sitting down
</t>
  </si>
  <si>
    <t>Sympathizing/ identifying 
yourself in the character</t>
  </si>
  <si>
    <t xml:space="preserve">~Cool and motivating because there’s 
someone doing this kind of research
~Curious as to what the results would be
</t>
  </si>
  <si>
    <t>Environment: more focused and could understand better since he's alone
Headset: hurts a bit
Software: ok, easty to use</t>
  </si>
  <si>
    <t>~ebook
~same setting as data collection room</t>
  </si>
  <si>
    <t>Plot: he doesn’t know what would happen 
next since it's per segment</t>
  </si>
  <si>
    <t>Environment: ok
Headset: hurts towards the end, making her hurry it up
Software: ok, but some segments are cliffhangers because of the segmentation</t>
  </si>
  <si>
    <t>~sitting down or stomach down on the bed
~ebook/book</t>
  </si>
  <si>
    <t>Character: general feeling</t>
  </si>
  <si>
    <t>~Story: boring at the start, 
but gets interesting. Relatable because it talks about family
~Experience is ok, just hurts a bit towards the end</t>
  </si>
  <si>
    <t>~Story was ok
~Experience was ok since it’s the reader’s first time using this</t>
  </si>
  <si>
    <t>~Software is amazing because it gathers
a lot of data about the participant</t>
  </si>
  <si>
    <t>~Being able to get emotions
is amazing</t>
  </si>
  <si>
    <t>A bit happy
 because the exciting part of the story feels like it’s about to start (*)</t>
  </si>
  <si>
    <t>The nursery room changed,
and the reader wasn’t expecting it (*)</t>
  </si>
  <si>
    <t>Wendy and Peter 
suddenly disappeared so reader thought they were being eaten by lions (*)</t>
  </si>
  <si>
    <t>Exciting because the characters got locked in. 
Reader wasn’t expecting that they’d be eaten (*)</t>
  </si>
  <si>
    <t>Kim (*)</t>
  </si>
  <si>
    <t>Legend:</t>
  </si>
  <si>
    <t>(*) - participant did not mark anything as striking, so was just asked to comment about the most highly rated segments</t>
  </si>
  <si>
    <t>reader likes the sci fi aspect. 
They're discovering the environment
and that it feels real
Scream: intriguing - what was it about</t>
  </si>
  <si>
    <t>the characters realizing that the lions are real, that fantasy is becoming reality
12: emotional moment - reader feels the characters' humanity, where technology is starting to control them and they don’t feel like themselves anymore</t>
  </si>
  <si>
    <t xml:space="preserve">the "I don’t belong here" feeling. 
Men and women have built in things in their hormones where they're programmed to do certain deeds, and since they cant perform it, they feel out of place. It's nice to learn things about the characters. This is where the conflict begins, truly. </t>
  </si>
  <si>
    <t>the lions can be real,
but they're just leaving it as is and don’t care about it</t>
  </si>
  <si>
    <t>the husband is 
suddenly starting to consider that maybe the lions are real</t>
  </si>
  <si>
    <t xml:space="preserve">sudden action -
the characters did something that wasn’t expected. Why were they going there again. Reader was intrigued. </t>
  </si>
  <si>
    <t>after the parent's
realization, they're now trying to experiment to see if they can control it. And they find out that only the children can</t>
  </si>
  <si>
    <t>feels mysterious - what are the 
children capable of? Are they crazy or what?</t>
  </si>
  <si>
    <t>a lot of intrigue 
from how the segments were cut. From the last segment, she just left abruptly. Now we learn that she used her mental powers to make it something else.</t>
  </si>
  <si>
    <t>foreshadowing - they're 
realizing that this may be totally real and their children may be psychotic</t>
  </si>
  <si>
    <t>first parts: 2 mysteries and how are they going to solve it. Then comes david
-who are the people screaming
-how are the screamings helping the mystery
-it's like intrigue and mystery coinciding and being solved at the same time
-we learn that the spoiled brats don't take well to being disciplined since they're constantly spoiled</t>
  </si>
  <si>
    <t>them trying to solve the mystery.
striking because the screamings feel like they're going to play a huge part, reader realized it here. Since these arent being brought up a lot in these segments. Reader found it interesting</t>
  </si>
  <si>
    <t xml:space="preserve">reader likes it because this part is not usually at a lot of fantasy stories- where they give backstories and explanations about things
playing with the mystery even more - kids are acting very differently and don’t react to it very well because they've been spoiled all along, and we're playing with the 'is this really real'
</t>
  </si>
  <si>
    <t>this is like the solution since they cant fully solve the mystery. So they're coming up
with a rock hard solution</t>
  </si>
  <si>
    <t>reader sees their reactions now</t>
  </si>
  <si>
    <t xml:space="preserve">starts with the last line of 65
we realize that the screams earlier were people
it makes the reader wonder if the intrigue that is still there is going to be explained or not
it makes the reader asks more questions and wonder about more things, since there's no clear conclusion
the story is open and leaves you with a lot of questions
</t>
  </si>
  <si>
    <t>Environment: too quiet, would've preferred background noise
Headset: very nice &amp; sci fi like. Uncomfortable in the neck portion
Software: ok</t>
  </si>
  <si>
    <t>Story and characters:
-if characters have a realization
-if characters react well or badly to a situation
-if kids are annoying
-when the story makes you realize that you dislike the kids but you sometimes act like them</t>
  </si>
  <si>
    <t>~sometimes boring, sometimes interesting - probably due to writing style
~writing style feels lacking
~segment, quiz, segment, quiz - can feel repetitive and a chore</t>
  </si>
  <si>
    <t>~he rates it 8 out of 8(?) 
mate(?) nate(?)</t>
  </si>
  <si>
    <t>got curious as to why
they'd call a psychologist</t>
  </si>
  <si>
    <t>the part about the walls and 
waking up or something</t>
  </si>
  <si>
    <t>whoa factor that they're at the savannah suddenly 
8: wondering why there are screams when they just entered the room
12, 13: how the nursery room was described, reader didn’t get it, and was surprised that the children controls it</t>
  </si>
  <si>
    <t>everything was 
automated</t>
  </si>
  <si>
    <t>they didn’t 
even once consider doing things on their own instead of relying on automation</t>
  </si>
  <si>
    <t>scenes are morbid and gore
21, 22: reader wonders why crystal wall simulation feels so realistic</t>
  </si>
  <si>
    <t>last sentence</t>
  </si>
  <si>
    <t>children's thoughts - why africa
27: wow that the kid set it up
30: reader doubt where the kid set it up or if the parent is just hallucinating
31, 32: parents were thinking that they're the ones doing it, not the children</t>
  </si>
  <si>
    <t>wallet</t>
  </si>
  <si>
    <t>scenes change 
so quickly</t>
  </si>
  <si>
    <t>partly wallet, 
partly children</t>
  </si>
  <si>
    <t>parenting style</t>
  </si>
  <si>
    <t>why are there screams again and 
who are these</t>
  </si>
  <si>
    <t>reader was happy they mentioned other countries
-reader was happy that peter acts like the mastermind
47: why call a psychologist for a nursery?
50: reader doesn’t get the expression "Get-"</t>
  </si>
  <si>
    <t>big words from 
a child</t>
  </si>
  <si>
    <t>peter's about to 
set his plan to motion</t>
  </si>
  <si>
    <t>Environment: phone and heat distracted her sometimes
Headset: hurts a bit
Software: ok</t>
  </si>
  <si>
    <t>~reads on phone
~night
~lying down</t>
  </si>
  <si>
    <t>plot elements and a little bit on the 
characters</t>
  </si>
  <si>
    <t>~story was fun
~kids are fucked up
~reader likes the story
~reader felt like she has to read and answer a bit faster</t>
  </si>
  <si>
    <t>reader was confused 
that the kids are the center of the parents' lives</t>
  </si>
  <si>
    <t>they tried it but then later 
they don't want to anymore</t>
  </si>
  <si>
    <t>it looks like they want to try out the room too 
but it didn’t work, so it was funny for the reader</t>
  </si>
  <si>
    <t>strawberry ice cream</t>
  </si>
  <si>
    <t>funny because they wanted to make 
the lion seem real</t>
  </si>
  <si>
    <t>it feels relaxing</t>
  </si>
  <si>
    <t>the part about the wallet is 
weird</t>
  </si>
  <si>
    <t>reader feels 
curious</t>
  </si>
  <si>
    <t>rationale behind 
turning the whole house off</t>
  </si>
  <si>
    <t xml:space="preserve">the kids are 
sneaking out just to go to the nursery  </t>
  </si>
  <si>
    <t>it feels sad for the 
parents that the psychologist said they're not like true parents</t>
  </si>
  <si>
    <t>sad part</t>
  </si>
  <si>
    <t>children are 
disrespectful</t>
  </si>
  <si>
    <t>reader imagines 
that there's a real lion about to attack. The segment makes the reader excited as to what would happen next</t>
  </si>
  <si>
    <t>reader still does not know 
who screamed</t>
  </si>
  <si>
    <t xml:space="preserve">Environment: position wasn’t comfortable so attention was affected
Headset: hurts a bit, couldn’t move eyes around
Software: makes reader dizzy since she's not used to staring at screens for long periods of time </t>
  </si>
  <si>
    <t>~actual book
~lying down/stomach down</t>
  </si>
  <si>
    <t>overall enjoyment</t>
  </si>
  <si>
    <t>~reader was confused on some points/parts of the story
~reader felt sad that the children lean on the nursery more than their parents
~reader was curious if the experiment really works</t>
  </si>
  <si>
    <t>flickering lights - reader thought 
it's the only automatic part of the house</t>
  </si>
  <si>
    <t>introduction -
 what's in the nursery</t>
  </si>
  <si>
    <t>why is the 
nursery big</t>
  </si>
  <si>
    <t>not the kind of 
nursery the reader was expecting</t>
  </si>
  <si>
    <t>nursery feels real</t>
  </si>
  <si>
    <t>nursery was 
described - reader found it cool</t>
  </si>
  <si>
    <t>animals</t>
  </si>
  <si>
    <t>made the reader
wonder what the lions are for</t>
  </si>
  <si>
    <t>describing the whole house - apparently the whole house was controlled by robots
part where they're deciding whether to shut the nursery down
part about the dinner where it's revealed that they don’t make their own food
part where it turns out that the nursery projections are from the children's imaginations - so why lions feeding on something
part where they checked again and it's always africa and it wont go away anymore</t>
  </si>
  <si>
    <t>part where they're 
wondering why the nursery doesn’t change anymore, then the children came</t>
  </si>
  <si>
    <t>helicopter</t>
  </si>
  <si>
    <t>the kids are denying that it's africa, so reader thought parents were just hallucinating, and that maybe africa is really the parents' thoughts</t>
  </si>
  <si>
    <t>when it changed to not africa</t>
  </si>
  <si>
    <t>surprised 
about the wallet, and the part of the lion. Because if it was not real, why would there be actual elements</t>
  </si>
  <si>
    <t>wants to question that maybe the 
children were really the ones who changed it</t>
  </si>
  <si>
    <t>wonders if the screams 
are real or fake</t>
  </si>
  <si>
    <t>there are 
screams again and it's back to africa. It's fun that there are binoculars mentioned - it adds mystery</t>
  </si>
  <si>
    <t>the effect of the house 
on the children</t>
  </si>
  <si>
    <t>bloody scarf</t>
  </si>
  <si>
    <t>the question "the lions look real, don't they?" makes the reader doubt 
again if the lions are real or not</t>
  </si>
  <si>
    <t>the fact that the mother agreed to open it again
when the children called them, didn’t expect that the children were plotting something
reader wonders when the lion became real, and apparently they are real
plot twist</t>
  </si>
  <si>
    <t>lions</t>
  </si>
  <si>
    <t>screams again</t>
  </si>
  <si>
    <t>reader thought it was interesting that the parents were using binoculars earlier to see what the lions were eating, 
and now that they know everything's real, that they might have been looking at the body of a person being eaten</t>
  </si>
  <si>
    <t>Environment: ok
Headset: mostly ok, but weird at times because it presses down
Software: builds up suspense so it's ok, evaluate right away is nice, when feeling the suspense - reader gets confused if she's annotating the previous segment or the next segment</t>
  </si>
  <si>
    <t>~book
~any position</t>
  </si>
  <si>
    <t>plot</t>
  </si>
  <si>
    <t>~story was slow, some parts can catch reader off guard
~reader was irritated about the kids' attitude and what they did at the ending
~realized it's also interesting to read in segments because build up is slower than reading without pause
~pauses were not irritating</t>
  </si>
  <si>
    <t>the description is beautiful. 
Reader can immerse himself/herself and feel that you're there and it's happening</t>
  </si>
  <si>
    <t>it's something that people should realize - 
that they're getting dependent and they're not living life anymore without gadgets</t>
  </si>
  <si>
    <t>it was explained here that the setting of the nursery is from the children's imaginations. 
Striking because kids are thinking about death</t>
  </si>
  <si>
    <t>this clinched the thought that children feel resentment towards 
their parents</t>
  </si>
  <si>
    <t xml:space="preserve">Environment: none. Usually immersed in reading
Headset: uncomfortable at first, but not irritating 
Software: straightforward, but sometimes reader doesn’t know which one to choose in slider if feeling is in between </t>
  </si>
  <si>
    <t>~ebook/book
~any position, anywhere</t>
  </si>
  <si>
    <t>~story was futuristic and interesting
~story is a sort of warning to not be too dependent on technology
~experiment is cool - nice to know that there's technology to understand what people are feeling when they read</t>
  </si>
  <si>
    <t xml:space="preserve">Environment: yes, quiet and no one would see so you won’t be embarrassed to react out loud 
Headset: hurts behind the ear 
Software: annotating feelings into photos get confusing after some time
</t>
  </si>
  <si>
    <t>describing the jungle - it wasn’t yet described that 
it was a special type of nursery so kind of surprising</t>
  </si>
  <si>
    <t>exciting because of the 
action</t>
  </si>
  <si>
    <t>saw how the spouses 
relate to each other</t>
  </si>
  <si>
    <t>realization that 'I'm not being the mother I'm supposed to be', 
and that they're fearing something they gave to their children</t>
  </si>
  <si>
    <t>vivid image of what was happening 
inside the room. Writing was very descriptive</t>
  </si>
  <si>
    <t>they had the realization that they cant control what's happening with the kids, 
and later on that they also cant control what's happening in the room. And that they're powerless, and the kids have the power over the room</t>
  </si>
  <si>
    <t>this is the part where the parents were excited that they could prove themselves right, 
then when the kids came, the room became different, so it was a confusing and wtf moment</t>
  </si>
  <si>
    <t xml:space="preserve">wallet - reader wonders 
if this is a horror story or not </t>
  </si>
  <si>
    <t>part where 
he cant sleep</t>
  </si>
  <si>
    <t>realization that the 
kids are spoiled. Reader wonders how the kids started being spoiled</t>
  </si>
  <si>
    <t>excited about the new character. 
Everytime someone screams, reader thinks it's interesting because there's action</t>
  </si>
  <si>
    <t>reader loved this part. The dad justified 
that the reason for shutting it down is so the kids would learn how to do things without technology</t>
  </si>
  <si>
    <t>this part feels like  
the kids are overstepping their boundaries</t>
  </si>
  <si>
    <t>introduction of a new character, thus a new 
perspective of things. Since before this segment, only the kids and the parents knew about what’s happening about the room</t>
  </si>
  <si>
    <t>incorporation of the psychologist's 
pov. Like 'let them think what they want to think'</t>
  </si>
  <si>
    <t>interesting because the dad said he wants facts not feelings. 
While the psychologist is just doing what he should be, which is to study the behavior of children</t>
  </si>
  <si>
    <t xml:space="preserve">this is where reader knew that there's a backstory to all the children's angst
</t>
  </si>
  <si>
    <t>continuation of backstory explaining how children think, 
which is somehow like what we people do. Since parents are too busy, they gave the room so the kids would have someone to talk to and be the friend, then the parents would suddenly take the room back, so no wonder the kids are angry and revolt</t>
  </si>
  <si>
    <t xml:space="preserve">these segments build up the hype of what's going to happen with the room
</t>
  </si>
  <si>
    <t>fantasy is being mixed with reality, and the parents are getting scared if the things are real and they suddenly come out</t>
  </si>
  <si>
    <t>they're now referring to the room like a person that has the ability to like something. 
The line between true and not is thinning</t>
  </si>
  <si>
    <t>reader is confused as to why the mom is now saying to let the kids have their way, when in the first place, she was the one who opposed to it first</t>
  </si>
  <si>
    <t>describing the state when the technologies are turned off. 
Made the reader feel that they werent really living and that it was the house doing everything for them</t>
  </si>
  <si>
    <t>"I wish you were dead" - 
omg moment, where you don’t say that to your parent</t>
  </si>
  <si>
    <t xml:space="preserve">reader is confused as to why the wife is begging
</t>
  </si>
  <si>
    <t>confusing at first - the lions disappeared, and the lions appeared again in the end</t>
  </si>
  <si>
    <t>they screamed and 
got eaten</t>
  </si>
  <si>
    <t xml:space="preserve">the screams - did they belong to the parents all along? did the children envision their parents getting killed by the room all this time. Reader is confused as to how the kids are so calm and what happened to the psychologist
</t>
  </si>
  <si>
    <t>~lying down or stomach down
~skims a lot</t>
  </si>
  <si>
    <t>~good posture
~a little bit of noise
~skims a lot</t>
  </si>
  <si>
    <t>Identifying with the kids 
where the parents are hindering on what you want</t>
  </si>
  <si>
    <t>~The open endedness is making the reader think and ask questions
~Story is very engaging
~Experience of annotating after reading is fun and nice because feelings could change drastically once you read the next</t>
  </si>
  <si>
    <t>Environment: ok
Headset: ok, does not hurt
Software: easy to understand</t>
  </si>
  <si>
    <t>~sitting down</t>
  </si>
  <si>
    <t>plot - unexpected</t>
  </si>
  <si>
    <t>feels like there's something that's going to happen</t>
  </si>
  <si>
    <t>at first, reader does not know what's the nursery, then the story started describing it</t>
  </si>
  <si>
    <t xml:space="preserve">~Story is confusing at first, but gets clearer in the middle
~Experience is fun because reader can see how his reading habits are </t>
  </si>
  <si>
    <t>when the kids arrived, 
it was creepy</t>
  </si>
  <si>
    <t>denying africa: reader thought it was just a technical glitch, 
then was surprised that it really was the work of the kids</t>
  </si>
  <si>
    <t>reader was confused about 
why they said the screams sound familiar</t>
  </si>
  <si>
    <t xml:space="preserve">the children look so calm even 
after what they did to their parents </t>
  </si>
  <si>
    <t>vivid description. 
This is the first segment that produced a vivid image</t>
  </si>
  <si>
    <t>it established the relationship between the parents, children, and the room. 
It showed that the parents weren't really as 'parentlike' compared to the room</t>
  </si>
  <si>
    <t>reader feels that there's something 
bad that's going to happen. There's a bad foreboding feeling</t>
  </si>
  <si>
    <t>reader thought the screams were from 
wendy and peter</t>
  </si>
  <si>
    <t>it's established here that peter does not really see him as a father, 
and that it's only more of a formality than anything else</t>
  </si>
  <si>
    <t>the phrase "In this case, however, 
the room has become a channel toward—d estructive thoughts,
instead of a release away from them"</t>
  </si>
  <si>
    <t>the bloody scarf - 
the reader got a sense that the parents are the ones going to be attacked, and that it's going to be bad</t>
  </si>
  <si>
    <t>this segment 
confirmed that the screams were the parents</t>
  </si>
  <si>
    <t>the personality of the kids appear, since they're just so nonchalant while having 
tea</t>
  </si>
  <si>
    <t>Environment: ok
Headset: mild discomfort, but got used to it
Software: reading is ok, but has cliffhangers</t>
  </si>
  <si>
    <t>~books/ebooks/
internet articles</t>
  </si>
  <si>
    <t>~Story has a sense of wonder at first then turned weird and creepy
~Experiment is interesting
~Got immersed in the story so didn't notice the headset</t>
  </si>
  <si>
    <t xml:space="preserve">~mostly ok
~Problem: if story is long, cannot remember what happened in the first parts and how it builds up the scene
~emotions can still be felt </t>
  </si>
  <si>
    <t>~no answer</t>
  </si>
  <si>
    <t>~prefers this method over annotating everything at the end</t>
  </si>
  <si>
    <t>~a bit of a hassle to go over it again 
especially when reader is already feeling something for a segment</t>
  </si>
  <si>
    <t>~kind of annoying because he's a fast reader and he wants
to read the next segment already, so he gets impatient</t>
  </si>
  <si>
    <t>~reader sometimes wants to skip answering to 
read next segment</t>
  </si>
  <si>
    <t>~reader prefers reading whole story first to avoid cliffhangers
~annotating was sometimes hard because there's not much going on yet</t>
  </si>
  <si>
    <t>~it's ok</t>
  </si>
  <si>
    <t>~read-annotate makes it easier to gather actual thoughts about the segment than annotating at the end</t>
  </si>
  <si>
    <t>~cliffhangers</t>
  </si>
  <si>
    <t>~Ok, because reader can monitor 
emotions per segment</t>
  </si>
  <si>
    <t>~cliffhangers
~sometimes hard to gauge feelings especially when 
nothing's happening in the story</t>
  </si>
  <si>
    <t>~just some questions about why 
read-annotate, and why the stories were chosen</t>
  </si>
  <si>
    <t xml:space="preserve">Environment: has to find a certain position, else would be distracted
Headset: hurts a bit so distracting at times 
Software: no comment
</t>
  </si>
  <si>
    <t xml:space="preserve">got surprised that the 
room was like that </t>
  </si>
  <si>
    <t>reader was wondering if 
it was really true</t>
  </si>
  <si>
    <t>the realism of the simulation is 
emphasized</t>
  </si>
  <si>
    <t>movie-like intensity, 
reader imagined something like characters running around</t>
  </si>
  <si>
    <t>the reader thought 
smoking means weed</t>
  </si>
  <si>
    <t>reader was surprised that the 
table suddenly spoke</t>
  </si>
  <si>
    <t>reader thought about 
death- that the father was going crazy</t>
  </si>
  <si>
    <t>aladdin. Reader also 
got curious because it doesn’t appear when said out loud, but that it might appear if it's just thought of</t>
  </si>
  <si>
    <t>reader was shocked that 
different people can see different scenes in the room</t>
  </si>
  <si>
    <t>kids are spoiled, and reader 
related it to her family</t>
  </si>
  <si>
    <t>movie-like. Reader imagined 
it with screams</t>
  </si>
  <si>
    <t>reader was triggered by the 
psychologist. Reader thinks that since there's a psychologist, someone's going crazy</t>
  </si>
  <si>
    <t>reader was curious if it's a hologram 
or machine</t>
  </si>
  <si>
    <t>reader was curious about how the 
bloody scarf got there</t>
  </si>
  <si>
    <t>the house is cool, but 
house full of dead bodies sounds scary</t>
  </si>
  <si>
    <t>reader is starting to hate the 
kids when they said 'I wish you were dead'</t>
  </si>
  <si>
    <t>reader was confused at this part</t>
  </si>
  <si>
    <t>~not comfortable with ebook because of bright lights 
~reads book lying down</t>
  </si>
  <si>
    <t>story</t>
  </si>
  <si>
    <t xml:space="preserve">~ Story: ok but confusing at first. Reader thought it was a fantasy like Narnia instead of real
~Experiment: amazed </t>
  </si>
  <si>
    <t>~story is a bit confusing</t>
  </si>
  <si>
    <t xml:space="preserve">Environment: no effect
Headset: hurts a bit
Software: a bit bothersome because reader is used to reading straight
 </t>
  </si>
  <si>
    <t>setting, plot</t>
  </si>
  <si>
    <t>psychologist</t>
  </si>
  <si>
    <t>description of the nursery was not what reader expected 
it to be. Description was too high tech</t>
  </si>
  <si>
    <t>reader can feel the realism</t>
  </si>
  <si>
    <t>the whole house is 
high tech</t>
  </si>
  <si>
    <t>reader thinks it's very comfortable that you won't need to do 
household chores, but the reason decreases for a person's duty</t>
  </si>
  <si>
    <t>high tech house</t>
  </si>
  <si>
    <t>they know it's only a 
projection but they're still scared</t>
  </si>
  <si>
    <t>turns out lions are not the only things that can be projected 
and that it depends on the children's imagination</t>
  </si>
  <si>
    <t>reader wonders why the interpretation of the 
nursery is full of death</t>
  </si>
  <si>
    <t>when they're testing out the nursery
and it doesn’t work</t>
  </si>
  <si>
    <t>they're going to 
test if it's really the mentality of the kids</t>
  </si>
  <si>
    <t>the nursery 
changed</t>
  </si>
  <si>
    <t>the parents 
realized they can't handle the kids so they asked for help</t>
  </si>
  <si>
    <t>there is now a 
third party to confirm</t>
  </si>
  <si>
    <t>the characters were fighting, because the parents want to close it 
but the kids don't want to</t>
  </si>
  <si>
    <t>the specialist said it's now 
destructive</t>
  </si>
  <si>
    <t>anticipation about the 
screams</t>
  </si>
  <si>
    <t>foreshadowing at the screaming</t>
  </si>
  <si>
    <t>reader thought about 
ethics - because it's die or kill</t>
  </si>
  <si>
    <t>child's tantrums</t>
  </si>
  <si>
    <t>the threat is now a reality</t>
  </si>
  <si>
    <t>the wife is confusing. Reader thought she wanted to stop and now 
changed her mind</t>
  </si>
  <si>
    <t>reader is expecting that the psychologist 
would be the next to die</t>
  </si>
  <si>
    <t>anticipation of the death. Since the room is now the mother/father, 
the kids' feelings towards their blood related parents are diminished</t>
  </si>
  <si>
    <t>~bothersome because reader 
is more used to reading straight</t>
  </si>
  <si>
    <t>~On asking the interest of the reader during annotation, it may be better to ask if reader is excited for the next segment
~Emoticon is sometimes confusing – whether reader should follow emoticon meaning or the question
~Reader was a bit bothered by the ‘camera’ and video</t>
  </si>
  <si>
    <t>~Story: dystopia/sci fi like
~Experiment: interested because it’s new for the reader</t>
  </si>
  <si>
    <t>~Physical book
~fanfiction on phone while lying down</t>
  </si>
  <si>
    <t xml:space="preserve"> Sometimes, the annotations carry over (ex. Questions that ask if the reader know what’s going to happen) because reader can correlate the previous segment</t>
  </si>
  <si>
    <t>reader started to question 
what the story could be about</t>
  </si>
  <si>
    <t>first encounter with the setting</t>
  </si>
  <si>
    <t>reader was curious about the scream 
and why they didn’t try to find out more</t>
  </si>
  <si>
    <t>the whole event when they were inside the nursery was a rush of adrenaline. 
There were a lot of emotions, such as the parents being scared at the same time, and had a decision that the nursery must be locked up - which is the turning point of the story and made the reader what would happen next</t>
  </si>
  <si>
    <t>reader can feel the characters' fears, and it feels like the characters are alive and 
showing their characteristics</t>
  </si>
  <si>
    <t>another turning point, what would happen to the decision to lock up the nursery 
now that the kids are home</t>
  </si>
  <si>
    <t>screams came out again but 
no one investigated</t>
  </si>
  <si>
    <t>funny for the reader that he 
demanded something</t>
  </si>
  <si>
    <t>reader knew that the children 
were lying and was anticipating that there will be a fight</t>
  </si>
  <si>
    <t>it might lead to a bigger issue because 
characters were already lying</t>
  </si>
  <si>
    <t>reader was able to relate on both sides. As a child was given anything she wants, but can 
also understand the parents' side of not wanting to give everything because the essence of family would be lost</t>
  </si>
  <si>
    <t>reader already had hunch before that the screaming would be the parents, but it was more 
evident in this segment</t>
  </si>
  <si>
    <t>first time that the children
blatantly scolded the parents</t>
  </si>
  <si>
    <t>reader knew why the parents wanted to shut down the 
nursery</t>
  </si>
  <si>
    <t>based from the past two segments, peter's character of being/acting older than his parents still prevailed even though the father was already adamant on 
closing the nursery</t>
  </si>
  <si>
    <t>1st reason: the segment is quotable quote
2nd reason: first the wallet, and now the scarf, so it solidifies the reader's assumption that the parents would die</t>
  </si>
  <si>
    <t>reader wanted to go into the story and 
scold the children for being too much</t>
  </si>
  <si>
    <t>a child wishing a parent to be dead 
over the house is just bad</t>
  </si>
  <si>
    <t>reader got irritated at the parents because they still continued to spoil the kids even though they knew the 
effects would be bad</t>
  </si>
  <si>
    <t xml:space="preserve">reader already expects 
that there's something wrong, but is still hoping for something to turn the tides around like a hero </t>
  </si>
  <si>
    <t>there is already no hope for the children to 
change their mind, and it's sad to see the story really turn out this way</t>
  </si>
  <si>
    <t>reader expected this to happen and still got sad and scared, and hated 
that it happened this way</t>
  </si>
  <si>
    <t>reader feels like the doctor's also starting to get 
afraid that something might happen to him</t>
  </si>
  <si>
    <t>Environment: would’ve been better if reader is in her own space/room, but since room is quiet, it’s ok
Headset: starts getting uncomfortable halfway
Software: easy to understand</t>
  </si>
  <si>
    <t xml:space="preserve">~Own space 
~Book, dislikes electronic reading
~Prefers reading the whole story before evaluating </t>
  </si>
  <si>
    <t>identifying with the characters</t>
  </si>
  <si>
    <t>~Story: nice, and it makes you think, but there's still bias of wanting to read everything first
~Experiment: nice overall, made reader realize she could also be engrossed in a story outside preferred genre, started hurting towards the end because of the headset and lack of glasses</t>
  </si>
  <si>
    <t xml:space="preserve">the psychologist might be next because he was a cohort and he's an adult. The kids were also creepy for smiling like that </t>
  </si>
  <si>
    <t>striking</t>
  </si>
  <si>
    <t>Total Count</t>
  </si>
  <si>
    <t>Total count</t>
  </si>
  <si>
    <t>number of participants who marked the segment as striking (please enable macros)</t>
  </si>
  <si>
    <t>Environment</t>
  </si>
  <si>
    <t>Headset</t>
  </si>
  <si>
    <t>Software</t>
  </si>
  <si>
    <t>environment is ok</t>
  </si>
  <si>
    <t>does not affect emotions</t>
  </si>
  <si>
    <t>can focus more because participant is alone</t>
  </si>
  <si>
    <t>can focus more because it's quiet</t>
  </si>
  <si>
    <t>distracted by uncomfortable position</t>
  </si>
  <si>
    <t>room is too quiet, background noise prefered</t>
  </si>
  <si>
    <t>ok, does not hurt</t>
  </si>
  <si>
    <t>uncomfortable at first, but not irritating</t>
  </si>
  <si>
    <t>weird at times because it digs into head</t>
  </si>
  <si>
    <t>very nice and sci fi like</t>
  </si>
  <si>
    <t>hurts/uncomfortable on the latter parts</t>
  </si>
  <si>
    <t>ok, easy to use, straightforward</t>
  </si>
  <si>
    <t>yes/no checkbox is hard to notice</t>
  </si>
  <si>
    <t>cliffhangers because of segmentation</t>
  </si>
  <si>
    <t>bothersome because reader wants to see whole story</t>
  </si>
  <si>
    <t>emojis get confusing after some time</t>
  </si>
  <si>
    <t>segmentation builds up suspense (good thing)</t>
  </si>
  <si>
    <t>Type of book</t>
  </si>
  <si>
    <t>phone</t>
  </si>
  <si>
    <t>physical book and ebook</t>
  </si>
  <si>
    <t>ebook</t>
  </si>
  <si>
    <t>physical book</t>
  </si>
  <si>
    <t>Position</t>
  </si>
  <si>
    <t>Others</t>
  </si>
  <si>
    <t>lying down</t>
  </si>
  <si>
    <t xml:space="preserve">sitting down </t>
  </si>
  <si>
    <t>stomach down</t>
  </si>
  <si>
    <t>any position</t>
  </si>
  <si>
    <t>prefers having a bit of noise</t>
  </si>
  <si>
    <t>prefers reading whole story before evaluating</t>
  </si>
  <si>
    <t>prefers being in own space/room</t>
  </si>
  <si>
    <t>skims a lot</t>
  </si>
  <si>
    <t>Character</t>
  </si>
  <si>
    <t>Plot</t>
  </si>
  <si>
    <t>Story</t>
  </si>
  <si>
    <t>Setting</t>
  </si>
  <si>
    <t>~reader does not know what would happen next</t>
  </si>
  <si>
    <t>~unexpected happenings</t>
  </si>
  <si>
    <t>~sympathizing/identifying oneself with the character</t>
  </si>
  <si>
    <t>~general feeling</t>
  </si>
  <si>
    <t>~if characters have a realization</t>
  </si>
  <si>
    <t>~if characters react well or badly to a situation</t>
  </si>
  <si>
    <t>~if the children are annoying</t>
  </si>
  <si>
    <t>~technology</t>
  </si>
  <si>
    <t>~overall enjoyment</t>
  </si>
  <si>
    <t>Experiment</t>
  </si>
  <si>
    <t>curious about the results</t>
  </si>
  <si>
    <t>deciding what corresponds to reader's feelings made annotation hard</t>
  </si>
  <si>
    <t>segmentation makes build up slower so it was interesting</t>
  </si>
  <si>
    <t>experience of annotating is fun</t>
  </si>
  <si>
    <t>experiment is amazing</t>
  </si>
  <si>
    <t xml:space="preserve">fun experience </t>
  </si>
  <si>
    <t>curious if experiment really works</t>
  </si>
  <si>
    <t>read-annotate can feel repetitive and a chore</t>
  </si>
  <si>
    <t>ok experience but headset hurts</t>
  </si>
  <si>
    <t>reader feels like he/she wants to read everything first</t>
  </si>
  <si>
    <t>got immersed in the story so didn’t notice the headset</t>
  </si>
  <si>
    <t>environment was very cold at the end</t>
  </si>
  <si>
    <t>fun story</t>
  </si>
  <si>
    <t>sometimes boring, sometimes interesting</t>
  </si>
  <si>
    <t>relatable because it talks about family</t>
  </si>
  <si>
    <t>story is ok</t>
  </si>
  <si>
    <t>writing style is ok</t>
  </si>
  <si>
    <t>writing style is lacking</t>
  </si>
  <si>
    <t>excited at the start</t>
  </si>
  <si>
    <t>boring/confusing at the start, but gets interesting</t>
  </si>
  <si>
    <t>futuristic and interesting story</t>
  </si>
  <si>
    <t>story was slow</t>
  </si>
  <si>
    <t>reader likes the story</t>
  </si>
  <si>
    <t>some parts are confusing</t>
  </si>
  <si>
    <t>reader is irritated at the children</t>
  </si>
  <si>
    <t>dystopia/sci fi like</t>
  </si>
  <si>
    <t>story has a sense of wonder at first but turned weird and creepy</t>
  </si>
  <si>
    <t>story is engaging</t>
  </si>
  <si>
    <t>open endedness makes reader think and ask questions</t>
  </si>
  <si>
    <t>Suggestions</t>
  </si>
  <si>
    <t>Questions</t>
  </si>
  <si>
    <t>who decided how to cut the segments</t>
  </si>
  <si>
    <t>why the stories were chosen</t>
  </si>
  <si>
    <t>why read-annotate</t>
  </si>
  <si>
    <t>being able to get emotions is amazing</t>
  </si>
  <si>
    <t>Reader was a bit bothered by the ‘camera’ and video</t>
  </si>
  <si>
    <t>Yes</t>
  </si>
  <si>
    <t>No</t>
  </si>
  <si>
    <t>1. Yes/No: Were they in a “comfortable position” while they were reading the story?</t>
  </si>
  <si>
    <t>mostly ok</t>
  </si>
  <si>
    <t>reader prefers reading whole story first to avoid cliffhangers</t>
  </si>
  <si>
    <t>kind of annoying and makes reader impatient for the next segment</t>
  </si>
  <si>
    <t>bothersome because reader is used to reading straight</t>
  </si>
  <si>
    <t>story is a bit confusing</t>
  </si>
  <si>
    <t>the annotations sometimes carry over because reader can correlate the previous segment to the next</t>
  </si>
  <si>
    <t xml:space="preserve">reader thought it was unusual 
for a person to not do anything </t>
  </si>
  <si>
    <t xml:space="preserve">was surprised that 
someone screamed </t>
  </si>
  <si>
    <t>got shocked that the nursery 
room was the setting for the things that come out</t>
  </si>
  <si>
    <t xml:space="preserve">whoa factor that they're 
at the savannah suddenly </t>
  </si>
  <si>
    <t>reader thought it was true, 
turned out it was not real</t>
  </si>
  <si>
    <t>the characters realizing that 
the lions are real, that fantasy is becoming reality</t>
  </si>
  <si>
    <t>emotional moment - reader 
feels the characters' humanity, where technology is starting to control them and they don’t feel like themselves anymore</t>
  </si>
  <si>
    <t>wondering why there are 
screams when they just entered the room</t>
  </si>
  <si>
    <t>how the nursery room was described, 
reader didn’t get it, and was surprised that the children controls it</t>
  </si>
  <si>
    <t>scream</t>
  </si>
  <si>
    <t>funny, makes you doubt if the lions are 
real or artificial</t>
  </si>
  <si>
    <t>amazed at the room 
they created</t>
  </si>
  <si>
    <t>theyre not used to doing the usual things like cooking. 
irritating because they're putting all the responsibilities into the machines</t>
  </si>
  <si>
    <t>it's possible that the lions are 
true, so reader was made to think</t>
  </si>
  <si>
    <t>the way they explained the 
scene because it feels real</t>
  </si>
  <si>
    <t>scenes are morbid and gore</t>
  </si>
  <si>
    <t>reader likes the sci fi aspect.
They're discovering the environment
and that it feels real
Scream: intriguing - what was it about</t>
  </si>
  <si>
    <t>reader can feel the themes when they enter the room, 
and it enhances the fear especially the lions were mentioned</t>
  </si>
  <si>
    <t>the room should listen to 
what you want but the room did not listen</t>
  </si>
  <si>
    <t>interest piqued when the kids 
returned and made reader wonder how the story will turn out next</t>
  </si>
  <si>
    <t>children's thoughts - why africa</t>
  </si>
  <si>
    <t>wow that the kid set it up</t>
  </si>
  <si>
    <t>reader doubt where the kid 
set it up or if the parent is just hallucinating</t>
  </si>
  <si>
    <t>parents were thinking that 
they're the ones doing it, not the children</t>
  </si>
  <si>
    <t>children and parents saw 
different scenes</t>
  </si>
  <si>
    <t>he kids lied that there's no 
africa, but turns out they changed it</t>
  </si>
  <si>
    <t>blood smears in the wallet</t>
  </si>
  <si>
    <t>she changed when 
we changed the scene'</t>
  </si>
  <si>
    <t>saddening that the 
relationship with parents went downhill</t>
  </si>
  <si>
    <t>irritating 
because they don’t know how to do anything by themselves</t>
  </si>
  <si>
    <t>child was disrespectful to the
 dad</t>
  </si>
  <si>
    <t xml:space="preserve">reader realized here 
that the purpose of her saying 'call the psychologist' was because of their child" </t>
  </si>
  <si>
    <t>the whole event when they were inside the 
nursery was a rush of adrenaline. 
There were a lot of emotions, such as the parents being scared at the same time, and had a decision that the nursery must be locked up - which is the turning point of the story and made the reader what would happen next</t>
  </si>
  <si>
    <t>at first, reader does not know what's the nursery, 
then the story started describing it</t>
  </si>
  <si>
    <t>kids are spoiled, and 
reader 
related it to her family</t>
  </si>
  <si>
    <t>aladdin. Reader also 
got curious because it doesn’t appear 
when said out loud, but that it might appear if it's just thought of</t>
  </si>
  <si>
    <t>they had the realization that they cant control 
what's happening with the kids, 
and later on that they also cant control what's happening in the room. And that they're powerless, and the kids have the power over the room</t>
  </si>
  <si>
    <t>went whoa when the kid said it's not africa. 
Reader felt like there's something wrong. These portions solidified the reader's thoughts that there's something happening with the kids that the parents don't know about.</t>
  </si>
  <si>
    <t>went whoa when the kid said it's not africa. Reader 
felt like there's something wrong. These portions solidified the reader's thoughts that there's something happening with the kids that the parents don't know about.</t>
  </si>
  <si>
    <t>this clinched the thought that children feel resentment 
towards 
their parents</t>
  </si>
  <si>
    <t>reader was shocked that 
different people can see 
different scenes in the room</t>
  </si>
  <si>
    <t>reader wonders why crystal 
wall simulation feels so 
realistic</t>
  </si>
  <si>
    <t>they're trying to resolve 
the problem within the family</t>
  </si>
  <si>
    <t>introduction of a new character</t>
  </si>
  <si>
    <t>oh shit moments from the dialogues that 
build up what's going to happen next</t>
  </si>
  <si>
    <t xml:space="preserve">david's diagnosis
-children look so oppressed
</t>
  </si>
  <si>
    <t>the crystal 
that looks so realistic</t>
  </si>
  <si>
    <t>bloody scarf and the children's reaction</t>
  </si>
  <si>
    <t>bloody scarf and the 
children's reaction</t>
  </si>
  <si>
    <t>someone is 
spoiled</t>
  </si>
  <si>
    <t>the parents got trapped in the room with the lions - 
big 'oh shit' moment</t>
  </si>
  <si>
    <t>confusing at first - 
the lions disappeared, and the lions appeared again in the end</t>
  </si>
  <si>
    <t>reader thought that the people being eaten were actually real</t>
  </si>
  <si>
    <t>pattern of the screams, and now they finally know where 
the screams come from</t>
  </si>
  <si>
    <t>they really locked the door and left their parents to die (reader was happy)
cliché that the children are superior than their parents - 'do this one thing and you'll get killed'
lions and screams</t>
  </si>
  <si>
    <t xml:space="preserve">déjà vu feeling for david, reader wonders 
why psychologist doesnt know about what happened to parents </t>
  </si>
  <si>
    <t>last part where parents were trapped: half pitiful, half deserved it because they 
spoiled the kids too much and the mother even let the kids have their way again</t>
  </si>
  <si>
    <t xml:space="preserve">when the psychologist appeared: reader thought everything would be ok, 
but it turns out the kids still have a plan
</t>
  </si>
  <si>
    <t>fight between peter and parents: reader now has an 
inkling that peter would do something to the parents</t>
  </si>
  <si>
    <t xml:space="preserve">recurring lions and screams: reader 
felt that the happenings were real
</t>
  </si>
  <si>
    <t>surprised 
about the wallet, and the part of the lion. 
Because if it was not real, why would there be actual elements</t>
  </si>
  <si>
    <r>
      <rPr>
        <b/>
        <sz val="11"/>
        <color rgb="FFFF0000"/>
        <rFont val="Calibri Light"/>
        <family val="2"/>
        <scheme val="major"/>
      </rPr>
      <t xml:space="preserve">Note: </t>
    </r>
    <r>
      <rPr>
        <sz val="11"/>
        <color rgb="FFFF0000"/>
        <rFont val="Calibri Light"/>
        <family val="2"/>
        <scheme val="major"/>
      </rPr>
      <t>total may not be equal to the number of participants because some participants either have no comment or more than one comment</t>
    </r>
  </si>
  <si>
    <r>
      <rPr>
        <b/>
        <sz val="11"/>
        <color rgb="FFFF0000"/>
        <rFont val="Calibri"/>
        <family val="2"/>
        <scheme val="minor"/>
      </rPr>
      <t>Note:</t>
    </r>
    <r>
      <rPr>
        <sz val="11"/>
        <color rgb="FFFF0000"/>
        <rFont val="Calibri"/>
        <family val="2"/>
        <scheme val="minor"/>
      </rPr>
      <t xml:space="preserve"> For now I just copied every comment of the participants per segment. If the participant comments "something something" for the segment block 1-4, 
then I put "something something" on all of those segments. This explains why there will be same comments for some succeeding segments. I don't know how to group most of the comments together yet.</t>
    </r>
  </si>
  <si>
    <t>Andrea</t>
  </si>
  <si>
    <t>Bea</t>
  </si>
  <si>
    <t>Eldes</t>
  </si>
  <si>
    <t>Erika</t>
  </si>
  <si>
    <t>Faith</t>
  </si>
  <si>
    <t>Jed</t>
  </si>
  <si>
    <t>Joshua</t>
  </si>
  <si>
    <t>Kerty</t>
  </si>
  <si>
    <t>Mark</t>
  </si>
  <si>
    <t>Phoebe</t>
  </si>
  <si>
    <t>Ralph</t>
  </si>
  <si>
    <t>Rheygine</t>
  </si>
  <si>
    <t>Sharmaine</t>
  </si>
  <si>
    <t>Seth</t>
  </si>
  <si>
    <t>Vina</t>
  </si>
  <si>
    <t>Number</t>
  </si>
  <si>
    <t>Name</t>
  </si>
  <si>
    <t>Parents didn't spend a lot of time with the kids. Dad mentioned at some point he was busy. They left so much of taking care of the kids with the automated house and the nursery to tell them story. They neglected the kids so they were replaced by robots, non-humans. "Humans Need Not Apply" on this topic for the job industry. What will humans do?</t>
  </si>
  <si>
    <t>The kids asked for lions, they got lions. Zebras, zebras. Death, death. Foreshadowing.</t>
  </si>
  <si>
    <t>Misunderstood the story. The reader thought the screams were coming from the children and not the room, so why weren't the parents checking on their kids?</t>
  </si>
  <si>
    <t>"It looks like the future." The kids growing up super spoiled because everything was done by machines. "Life pretty much means you only watch and listen."</t>
  </si>
  <si>
    <t>Reader could relate to the psychologists. "A psychologist never saw a fact in his life."
Also,  the reader was starting to understand the plot.</t>
  </si>
  <si>
    <t>The nursery was the children's parents.</t>
  </si>
  <si>
    <t>The reader slightly empathized with the kids on wishing ill will on bad people.</t>
  </si>
  <si>
    <t>It felt dream-like and like a typical dream setting for him. He feels he'll remember the story if he has a dream with this setting.</t>
  </si>
  <si>
    <t>"Too much of anything isn't good for anyone." It's overused but he can relate so much to the line.</t>
  </si>
  <si>
    <t>He can't explain why this feels striking for him.</t>
  </si>
  <si>
    <t>It seems like the climax because the mystery finally started.</t>
  </si>
  <si>
    <t>It also feels like a part of the climax as the kids are missing and there was screaming.</t>
  </si>
  <si>
    <t>Also felt like a climax, and a cliffhanger.</t>
  </si>
  <si>
    <t>The late realization of the parents as to why the screams sounded so familiar.</t>
  </si>
  <si>
    <t>The story has come full circle by repeating the beginning, giving an idea of what will happen next.</t>
  </si>
  <si>
    <t>The way the passages were written gave the reader a good visualization of the setting/scenario.</t>
  </si>
  <si>
    <t>The way the passages were written gave the reader a good visualization of the setting/scenario.
11-12: The lions gave the reader a feeling of unease for the characters.</t>
  </si>
  <si>
    <t>The story wasn't as chopped up so the story was progressing.
There were some conversational exchanges that gave the segments a casual setting where the reader could imagine the husband and wife talking. The description gives a good visualization of what's happening.
19: The reader also sympathized with the children because the dad talked about locking the children out of the nursery.</t>
  </si>
  <si>
    <t>The length of the segments sparked the reader's interest again. The segments also mentioned some familiar story characters like Alice, Aladdin and Dr. Doolittle.
23: The description of the setting was really good.</t>
  </si>
  <si>
    <t>The reader was excited for Aladdin to appear in the nursery / in the story.</t>
  </si>
  <si>
    <t>The use of similes and metaphors were good in this segment like "eyes like bright blue agape marble" and "a smell of ozone".
Also, the children seemed happy with their strawberry ice cream and hot dog.</t>
  </si>
  <si>
    <t>The reader liked the conversation between Peter and Wendy and how easy to read it was.</t>
  </si>
  <si>
    <t>The description gave the reader a good visualization of the setting.</t>
  </si>
  <si>
    <t>The mention of the old wallet indicated traces of the past and this struck the reader.</t>
  </si>
  <si>
    <t>There was conflict between the husband and wife.
37: The line "Children are carpets, they should be stepped on occasionally" made the reader feel unhappy with the parents for being willing to treat their kids that way.</t>
  </si>
  <si>
    <t>The segment was conversational and easy to read. There was also conflict because one wants to close the nursery while the other doesn't want to.</t>
  </si>
  <si>
    <t>The reader had a similar experience, and the segment evoked negative feelings from the past.</t>
  </si>
  <si>
    <t>The reader empathized with the children as she had a similar experience, and the segment evoked negative feelings from the past.</t>
  </si>
  <si>
    <t>It struck the reader because the lions were back.</t>
  </si>
  <si>
    <t>"Nothing ever likes to die, even a room." It took the reader to a personal experience that made her feel extreme negative emotions.</t>
  </si>
  <si>
    <t>Once again, the segment was conversational. Also, the husband was very assertive to the wife.</t>
  </si>
  <si>
    <t>"The house was full of dead bodies, it seemed. It felt like a mechanical cemetery. So silent." The reader was affected because the theme of the segment was death.</t>
  </si>
  <si>
    <t>The lions were still there. The reader thought the lions were going to eat the kids.</t>
  </si>
  <si>
    <t>"Wait a moment, you'll see." The reader thought something was going to happen already.</t>
  </si>
  <si>
    <t>One of them heard a scream.</t>
  </si>
  <si>
    <t>The reader has an idea already on what's going on in the room. Also, the room was weird.</t>
  </si>
  <si>
    <t>The reader thought the husband and wife were going to be eaten.</t>
  </si>
  <si>
    <t>The reader was interested in what was going on in the room. "It was too real" but the room's contents are imaginary. There's also the realization that the kids were controlling the room.</t>
  </si>
  <si>
    <t>The room felt dangerous.</t>
  </si>
  <si>
    <t>The segment implies that the lions are actually real.</t>
  </si>
  <si>
    <t>The reader noticed that the table was also technologically advanced and realized that the rest of the house might also be advanced.</t>
  </si>
  <si>
    <t>The psychology of the children.</t>
  </si>
  <si>
    <t>The reader found the children strange, almost robot-like.</t>
  </si>
  <si>
    <t>The room changed dramatically. The reader wasn't sure if the room was being controlled by the children or if the room itself was being mysterious.</t>
  </si>
  <si>
    <t>The reader still isn't sure if it's the room or the children.</t>
  </si>
  <si>
    <t>The segment displayed the children's attachment to the room.</t>
  </si>
  <si>
    <t>There is an emphasis on the children's attachment to the room, to the point that they're threatening their own father.</t>
  </si>
  <si>
    <t>The psychologist saw the room and immediately knew that bad things were happening with the children.</t>
  </si>
  <si>
    <t>The reader liked the parents' realization of why the screams were familiar.</t>
  </si>
  <si>
    <t>Story build-up from the previous segment</t>
  </si>
  <si>
    <t>The reader felt the atmosphere changed when she read this segment.</t>
  </si>
  <si>
    <t>Story build-up</t>
  </si>
  <si>
    <t>The reader found the narrative striking.</t>
  </si>
  <si>
    <t>The story atmosphere</t>
  </si>
  <si>
    <t>The phrasing of the segment.</t>
  </si>
  <si>
    <t>The reader found the conversation striking.</t>
  </si>
  <si>
    <t>The screams from the nursery was striking.</t>
  </si>
  <si>
    <t>"My advice to you is to have the whole damn room torn down and your children brought to me every day during the next year for treatment."</t>
  </si>
  <si>
    <t>The description in the conversation</t>
  </si>
  <si>
    <t>The reader isn't sure what she found striking and proposes it might be the flipping of the switch.</t>
  </si>
  <si>
    <t>From "Daddy, Mommy, come quick-- quick!", the story builds up</t>
  </si>
  <si>
    <t>The realization of the parents as to why the screams sounded so familiar.</t>
  </si>
  <si>
    <t>The reader wanted to know what would be going on in a nursery.</t>
  </si>
  <si>
    <t>The reader was caught by surprise. She couldn't figure out and wanted to know what was happening.</t>
  </si>
  <si>
    <t>Maybe the lions can actually get out of the nursery.</t>
  </si>
  <si>
    <t>The form of the passage and the use of word murder. Also to keep hearing the lion roaring.</t>
  </si>
  <si>
    <t>The children arrived and seemed creepy.</t>
  </si>
  <si>
    <t>The reader was wondering where the wallet came from and it felt like a conspiracy theory.</t>
  </si>
  <si>
    <t>The reader was weirded out by how obsessed the children were with the nursery.</t>
  </si>
  <si>
    <t>Because the dad called in a psychologist.</t>
  </si>
  <si>
    <t>She was shocked that the kids would talk to their parents like that.</t>
  </si>
  <si>
    <t>The parents were trapped. What was happening?</t>
  </si>
  <si>
    <t>The reader was baffled how Wendy could act so "chill" and offer the psychologist a cup of tea.</t>
  </si>
  <si>
    <t>The reader was interested to know: what about the nursery?</t>
  </si>
  <si>
    <t>The reader was surprised to find that the house was quite automated.</t>
  </si>
  <si>
    <t>The reader was interested when the wife said "Wait a moment, you'll see."</t>
  </si>
  <si>
    <t>The reader was surprised that the nursery looked like Africa.</t>
  </si>
  <si>
    <t>The reader was surprised as to why the parents weren't reacting to the appearance of 'living animals' in the nursery.</t>
  </si>
  <si>
    <t>The reader was startled on why there was a scream.</t>
  </si>
  <si>
    <t>The reader was surprised by the events.</t>
  </si>
  <si>
    <t>The reader thought the wife was overreacting since the lions weren't real.</t>
  </si>
  <si>
    <t>Although the reader also wasn't sure why the husband wanted to lock the nursery, she didn't like the wife's reaction.</t>
  </si>
  <si>
    <t>The reader was surprised that doing things themselves wasn't the norm for the family.</t>
  </si>
  <si>
    <t>The reader doesn't dislike the wife's character as much now as she actually wants to be useful and not let the house do everything.</t>
  </si>
  <si>
    <t>The reader was amazed with the table being so advanced.</t>
  </si>
  <si>
    <t>The children were described to have such dark thoughts.</t>
  </si>
  <si>
    <t>An expansion on #19 on thinking dark thoughts, like death.</t>
  </si>
  <si>
    <t>The reader was confused on why there was a scream.</t>
  </si>
  <si>
    <t>The reader finally found out the functions of the nursery.</t>
  </si>
  <si>
    <t>The reader was anticipating for the lions to go away when the husband said so. But it didn't happen.</t>
  </si>
  <si>
    <t>The reader was still anticipating that the room would do as the husband says, but it didn't.</t>
  </si>
  <si>
    <t>Since the parents were eating dinner, the reader wasn't expecting the children to arrive.</t>
  </si>
  <si>
    <t>The reader was interested when the son claimed not to understand the dad's claims about Africa. She thought that the son might not know about Africa.</t>
  </si>
  <si>
    <t>The reader felt that she guessed right when the son claimed that he doesn't remember Africa.</t>
  </si>
  <si>
    <t>Wendy came back saying that the nursery wasn't Africa.</t>
  </si>
  <si>
    <t>The reader was surprised that the nursery wasn't Africa, and found the described environment to be really pretty. At the same time, she wondered what happened to Africa.</t>
  </si>
  <si>
    <t>The reader had a theory on where the wallet came from.</t>
  </si>
  <si>
    <t>Even in the middle of the night, they're still talking about the nursery.
The reader was also surprised when the husband said that he will lock the nursery.</t>
  </si>
  <si>
    <t>They gave an explanation as to why the children were acting the way they were.</t>
  </si>
  <si>
    <t>The reader was getting excited to know what would happen next.</t>
  </si>
  <si>
    <t>The reader was confused on why they were saying the screams sound familiar.</t>
  </si>
  <si>
    <t>The son finally admitted to knowing about Africa.</t>
  </si>
  <si>
    <t>The reader discovered that the son was really spoiled.</t>
  </si>
  <si>
    <t>The reader didn't know who the psychologist was and finally found out in this segment.</t>
  </si>
  <si>
    <t>"the usual violences", from the start it raised red flags.</t>
  </si>
  <si>
    <t>The segment ended abruptly.</t>
  </si>
  <si>
    <t>The psychologist was looking for a reason as to why they children were acting the way they were. The reader felt it was because of the rocket incident.</t>
  </si>
  <si>
    <t>When the psychologist exclaimed "Ah, ha!" and explained, the reader understood.</t>
  </si>
  <si>
    <t>They revisit the realness of the lions. So will there be a point in the story where the lions do become real?</t>
  </si>
  <si>
    <t>The reader is starting to anticipate the death of the parents due to the appearance of the scarf and the wallet in the nursery.</t>
  </si>
  <si>
    <t>The reader was surprised as to why the wife was suddenly asking not to close the nursery when she was asking this whole time to shut down the whole house.</t>
  </si>
  <si>
    <t>Excitement for story build-up.
"I wish you were dead!" The reader was wondering if the kids were imagining that their parents were dead.</t>
  </si>
  <si>
    <t>Excitement for story build-up.
After shutting down the nursery and insisting that it stay shut, the husband relented to open it for a minute. The reader was surprised and dismayed because obviously the kids were planning something.</t>
  </si>
  <si>
    <t>The reader was surprised when Lydia appeared as she was supposed to be watching the kids. What was she doing there?</t>
  </si>
  <si>
    <t>The reader was confused when the kids suddenly called the parents down. "Come quick!"</t>
  </si>
  <si>
    <t>When the door closed, the reader knew that they would die.</t>
  </si>
  <si>
    <t>The reader was hoping that the lions would turn out to be not real and that the parents wouldn't die.</t>
  </si>
  <si>
    <t>The plot twist as to why the screams were familiar.</t>
  </si>
  <si>
    <t>The reader wondered if the parents were already dead. And also wondered why the children had no reaction to it.</t>
  </si>
  <si>
    <t>Daian</t>
  </si>
  <si>
    <t xml:space="preserve">It talks about psychology, and nursery, and the stove making supper for 4. Reader was thinking maybe there's some psychological problem or something like that, so it's a struggle. </t>
  </si>
  <si>
    <t>-it began to jump from nursery to africa
-starts to talk about the environment, so reader felt the nature</t>
  </si>
  <si>
    <t>-starts to have animals</t>
  </si>
  <si>
    <t>-if the lion is fake, why would there be blood on the wallet</t>
  </si>
  <si>
    <t>-reader was scared that the scream might come from their children</t>
  </si>
  <si>
    <t>-they said the screams sounded familiar and reader thought it was because of the animal inside</t>
  </si>
  <si>
    <t>-psychologist talks about the effects of the nursery</t>
  </si>
  <si>
    <t>-section explains what the guy should change, so reader feels ok</t>
  </si>
  <si>
    <t>-the nursery closed, and the fight if the father is going to close it or not</t>
  </si>
  <si>
    <t>-the father started  closing the machines</t>
  </si>
  <si>
    <t>-there's crying
-the father tells the reason why it should be closed - reader feels it was a good reason</t>
  </si>
  <si>
    <t>-the child said 'I hate you' when they fought</t>
  </si>
  <si>
    <t>-the father agree, and the reader thought if she was in the father's shoes, she would  never open it again</t>
  </si>
  <si>
    <t>-reader feels happy because they're going to leave</t>
  </si>
  <si>
    <t>-reader feels like there's something going to happen because the children kept saying to hurry up</t>
  </si>
  <si>
    <t>-the door closed so there must have been a trick played somewhere</t>
  </si>
  <si>
    <t>-the children don’t want to open the door because the father wanted to close the nursery</t>
  </si>
  <si>
    <t>-the father heard sounds, and the psychologist didn’t know that the parents were inside</t>
  </si>
  <si>
    <t>-the father and the wife are starting to get scared if the lions will attack them</t>
  </si>
  <si>
    <t>-the screams sounded familiar</t>
  </si>
  <si>
    <t>-the children are calm and smiling, and the psychologist had no idea what's happening</t>
  </si>
  <si>
    <t>-the children asked psychologist to have tea</t>
  </si>
  <si>
    <t xml:space="preserve">Environment: No, because she focused
 Headset: painful-head and face hurts
Software: ok, easy to use, convenient, emojis are a bit confusing on the first and last questions – ‘are you amused’ and ‘how did you find it’. Reader is amused but it feels almost the same as the first question. Sometimes when she’s scared, she doesn’t know if she should choose the amused or the happy face
</t>
  </si>
  <si>
    <t>~sitting
~book
~reads everyday</t>
  </si>
  <si>
    <t>overall story, characters</t>
  </si>
  <si>
    <t xml:space="preserve">~Story: Reader is not sure if she liked it or not. She liked it because it made her reflect. She doesn’t like it because it made her feel sad and unpleasant.
~Overall experience: headset is painful. Some words are unfamiliar so reader cannot understand some parts. Reader also wanted to drink her tea but she didn’t know if it would affect the data collection so she didn’t. 
</t>
  </si>
  <si>
    <t>Reader is excited to
 know what the results of her emotions are.</t>
  </si>
  <si>
    <t>ok. Not distracting</t>
  </si>
  <si>
    <t>TFATJ - SECOND TIME FOR PARTICIPANTS</t>
  </si>
  <si>
    <t>MFTS - THIRD TIME FOR PARTICIPANTS</t>
  </si>
  <si>
    <t>Empathizing and sympathizing with the characters – reader felt a connection with the characters and what they’re going through</t>
  </si>
  <si>
    <t>TFATJ</t>
  </si>
  <si>
    <t>-the genie explained the backstory first before killing the fisherman</t>
  </si>
  <si>
    <t>-the reader felt for the jinni, since the jinni waited a long time without anyone releasing him from the jar, and now that he's released, he can fulfill the promise he made for himself</t>
  </si>
  <si>
    <t>-there's banter since the fisherman doesn’t want to believe in the jinni and he has to see for himself first before believing</t>
  </si>
  <si>
    <t xml:space="preserve">~Story compared to last one: this one is light, segments are easier to read, segments are shorter, doesn’t feel dragging so reader felt more interested and enticed with the story
~Experience: more engaged compared to first time. External factors such as cold room didn’t affect the reader’s engagement with the story
</t>
  </si>
  <si>
    <t xml:space="preserve">Story is more 
interesting than last one – since it’s lighter and it just feels like they’re just talking with each other. Sentence wasn’t hard to understand and piece together. Reader also became more interested since reader doesn’t know if the next one would already be the main story or not. But tintin’s introduction before reading is useful. </t>
  </si>
  <si>
    <t>Easy to categorize what the reader was feeling, so it’s ok. Not distracting</t>
  </si>
  <si>
    <t>-reader thought genie would just say 'you have three wishes' and reader doesn’t know who sulayman is</t>
  </si>
  <si>
    <t>-reader didn’t understand why 'be very glad'</t>
  </si>
  <si>
    <t>-reader still thinks it's 3 wishes only</t>
  </si>
  <si>
    <t>-"hurry up make a wish", jinni is still pushing to just kill his savior</t>
  </si>
  <si>
    <t>-jinni still wants to kill</t>
  </si>
  <si>
    <t>-even though someone saved the jinni, he would still kill the person because of what he promised to himself before</t>
  </si>
  <si>
    <t>-fisherman thought of a trick</t>
  </si>
  <si>
    <t>-the king and wife were introduced. Reader thought it was very fun that they're using stories to delay death</t>
  </si>
  <si>
    <t xml:space="preserve">-reader thought it was weird that the sister is downstairs when they're making love, and the girl will be killed. And the sister is even excited for them to finish so she could hear the rest of the story. Reader wonders if this is a culture thing </t>
  </si>
  <si>
    <t>-story feels like inception, they're all just delaying their deaths</t>
  </si>
  <si>
    <t>-the line was already mentioned before and is now used again</t>
  </si>
  <si>
    <t>-the head talked. The reader thought the head could only talk because of the magic word, but there was no magic word yet, so how was the head able to talk</t>
  </si>
  <si>
    <t>-reader thought it was a special gold fish</t>
  </si>
  <si>
    <t>"Nothing. Bye” 
(Transcriber’s comments: idk why I laughed out loud at this)</t>
  </si>
  <si>
    <t>same as before</t>
  </si>
  <si>
    <t xml:space="preserve">Environment: ok, she doesn’t have mens anymore. reader put her feet up so she was half lying down
Headset: not that painful since she already anticipated it </t>
  </si>
  <si>
    <t xml:space="preserve">~Story: Fun to read and amusing, because the girl was witty and the king is slow. The relation of the stories were cool. Story inception. Other sister was funny and weird
~Experience: reader is now able to determine better what is striking or not. Also because she doesn’t want to answer many questions
</t>
  </si>
  <si>
    <t>no answer</t>
  </si>
  <si>
    <t>MFTS</t>
  </si>
  <si>
    <t>-reader was surprised that this is the 
entrance of the story</t>
  </si>
  <si>
    <t>-reader was interested about the thing with the lid and the jinni. And the thing about the death</t>
  </si>
  <si>
    <t>the jinni killing the person. Reader was expecting 3 wishes</t>
  </si>
  <si>
    <t>-the reason of the jinni was developed here
-the begging</t>
  </si>
  <si>
    <t>-reader was already expecting the character to stall his death</t>
  </si>
  <si>
    <t>-stalling heir death is also being donw in the other story</t>
  </si>
  <si>
    <t>-plotting against the jinni</t>
  </si>
  <si>
    <t>-reader already anticipated that the jinni will either push through with killing or not. This may be useful later</t>
  </si>
  <si>
    <t>-new story again</t>
  </si>
  <si>
    <t>-reader was irritated that the king believed in the other guy.. Magic is usually feared or revered in stories, and reader doesn’t like it</t>
  </si>
  <si>
    <t>-reader laughed because the jinni was also impatient and wanted to know the story</t>
  </si>
  <si>
    <t>-reader was irritated with the king because he wants to hear the head talk but he's afraid of magic</t>
  </si>
  <si>
    <t>-reader didn’t expect that it was poison</t>
  </si>
  <si>
    <t>-pleading on the part of the fisherman - his character suddenly changed and he's making another promise. Seems like promises 
play a huge part in this story</t>
  </si>
  <si>
    <t>-reader was intrigued why they're going 
to the mountain when they wanted to fish. Didn’t expect that the fish would turn into gems</t>
  </si>
  <si>
    <t>-the farewell was so good</t>
  </si>
  <si>
    <t>-reader already expected that the storytelling would just continue</t>
  </si>
  <si>
    <t xml:space="preserve">Environment: no, since reader already experienced it during the first time
Headset: didn’t feel that much pain since story is shorter
Software: same as before
</t>
  </si>
  <si>
    <t>no answer. So probably just same as before</t>
  </si>
  <si>
    <t>Plot –
 similar to another story reader read before</t>
  </si>
  <si>
    <t xml:space="preserve">~Story is more confusing than the previous one, since it jumps from story to story. But the three stories are similar since they’re all asking for forgiveness and trying to delay their death by telling stories. Not a lot of foreshadowing because the stories have more or less the same events. The Veldt was more fun because reader can feel the buildup, while this is a chill story that you can read anytime. 
~Experience: ok, annotation is easier for this story, but reader likes the veldt more because she felt more buildup there
</t>
  </si>
  <si>
    <t>-the jinni suddenly said sulayman</t>
  </si>
  <si>
    <t>-genie usually asks 3 wishes, but suddenly talks about killing here</t>
  </si>
  <si>
    <t>-the conditions when he's released keeps changing</t>
  </si>
  <si>
    <t>-reader thought the jinni would fall for the fisherman's trap</t>
  </si>
  <si>
    <t>-fisherman's trick</t>
  </si>
  <si>
    <t>-same events as with the fisherman and jinni, only this time it's with the king and the sage</t>
  </si>
  <si>
    <t>-the king is being an idiot to think that there's something mirabulous that will happen</t>
  </si>
  <si>
    <t>-reader felt the king deserved to be poisoned</t>
  </si>
  <si>
    <t>-the fisherman fell for the riches that the jinni mentioned. Reader wonders why since fisherman is supposed to know that the jinni tricked him before</t>
  </si>
  <si>
    <t>-reader thought fisherman would meet a bad end, but then he got the riches that he wanted</t>
  </si>
  <si>
    <t xml:space="preserve">Environment: none
Headset: still painful for long use
Software: ok, understandable
</t>
  </si>
  <si>
    <t>-the woman gave almost all of her fingers away just for the little man, because she doesn’t have anything to bet</t>
  </si>
  <si>
    <t xml:space="preserve">Environment: no
Headset: got used to it, so no effect
Software: same
</t>
  </si>
  <si>
    <t>-reader wonders why she'd bet a car for something where the bet is just small</t>
  </si>
  <si>
    <t>-reader was confused about the mention of the pinky</t>
  </si>
  <si>
    <t>-when the little man confirmed the bet and when he was taunting the guy</t>
  </si>
  <si>
    <t>-when the guy said the agreement is ridiculous. And the part when the man mentioned what would happen when he loses the bet</t>
  </si>
  <si>
    <t>-reader found it funny that the girl was also made to be part of the audience when there seems to be something gruesome that would happen</t>
  </si>
  <si>
    <t>-reader first thought that they're spouse. Reader was also confused about the 'misty' portion. How fast could he have shaken that?</t>
  </si>
  <si>
    <t>-reader found it fun coz she foresaw that the guy is crazy and there's going to be a plot twist and that there are already many victims that fell to the little man. Also the part where he said he wanted it all in the end</t>
  </si>
  <si>
    <t>Environment: same as before
Headset: headset still hurts at the ear
Software: same as before</t>
  </si>
  <si>
    <t xml:space="preserve">~Story: reader was wondering if it was an asylum at first, but then it mentioned beach. Moral: don’t accept random bets from strangers, especially if it involves little fingers. Reader figured the American was dumb, just to impress the girl. Reader was only captivated at the end part.
~Experiment: no answer
</t>
  </si>
  <si>
    <t>no effect</t>
  </si>
  <si>
    <t>not that painful</t>
  </si>
  <si>
    <t>???? The children something something ????</t>
  </si>
  <si>
    <t>The setting changed so fast from being just a nursery to being Africa.</t>
  </si>
  <si>
    <t>Why are there lions suddenly?</t>
  </si>
  <si>
    <t>The lions are coming.</t>
  </si>
  <si>
    <t>There was action in relation to the lions.</t>
  </si>
  <si>
    <t>At first, the reader really thought they were in Africa, but it turns out the nursery has the ability to project thoughts.</t>
  </si>
  <si>
    <t>The story reinforced that the nursery has the ability to project thoughts.</t>
  </si>
  <si>
    <t>There was a feeling of helplessness as the lions did not obey the command to leave.</t>
  </si>
  <si>
    <t>Same, but with the room.</t>
  </si>
  <si>
    <t>The nursery changed from Africa to a nature place.</t>
  </si>
  <si>
    <t>The reader started to believe that the lions are machines capable of biting wallets instead of just projections.</t>
  </si>
  <si>
    <t>The nursery was changed.</t>
  </si>
  <si>
    <t>The scene changed from Africa to Rima.</t>
  </si>
  <si>
    <t>The reader was still confused why there were screams.</t>
  </si>
  <si>
    <t>When they mentioned the screams sounded familiar, the reader thought it was the kids.</t>
  </si>
  <si>
    <t>Before, they were having normal conversations or running from lions. But now they're arguing about shutting the nursery down.</t>
  </si>
  <si>
    <t>Still on arguing about shutting the nursery down.</t>
  </si>
  <si>
    <t>Suddenly going from an argument to a casual conversation with a psychologist.</t>
  </si>
  <si>
    <t>"I want facts not feelings." George is the business guy that wants to go straight to the results.</t>
  </si>
  <si>
    <t>The psychologist explains why feelings were their domain.</t>
  </si>
  <si>
    <t>The story was showing what the dad had done to the kids. Cutting them off from technology to make them do homework.</t>
  </si>
  <si>
    <t>Same as 54.</t>
  </si>
  <si>
    <t>It seemed like the climax as the nursery has been shut down. Also the kids were begging for one more moment with the nursery.</t>
  </si>
  <si>
    <t>They were desperate to leave the nursery but the door was locked.</t>
  </si>
  <si>
    <t>The lions were back.</t>
  </si>
  <si>
    <t>The reader finally understood why the screams were familiar.</t>
  </si>
  <si>
    <t>The mood switched from the build up of terror to a sudden calm.</t>
  </si>
  <si>
    <t>The reader was surprised that the setting originally seemed ordinary, but then there were mentions of sound proofing, the house was expensive, etc.</t>
  </si>
  <si>
    <t>Because of the screams, the story seemed to be building up.</t>
  </si>
  <si>
    <t>It seemed like they were going to get chased and eaten by the lions.</t>
  </si>
  <si>
    <t>The room was mentioned to be able to project thoughts.</t>
  </si>
  <si>
    <t>Just describing again that the room is able to project thoughts as a simulation.</t>
  </si>
  <si>
    <t>How was his wallet there? Is the room able to affect real objects?</t>
  </si>
  <si>
    <t>Because the kids went in without permission while the lions were there, the reader was worried that the screams were coming from them.</t>
  </si>
  <si>
    <t>The reader was amused that there was a psychologist. That's all.</t>
  </si>
  <si>
    <t>The psychologist explained that his expertise depended on feelings. He also suggested to shut down the simulation room to encourage the kids to live in the real world.</t>
  </si>
  <si>
    <t>The psychologist says that the room has become more of a parent in the eyes of the children than the parents themselves.</t>
  </si>
  <si>
    <t>If this is a simulation, is there a possibility of the machine breaking or becoming more advanced to be able to make things real?</t>
  </si>
  <si>
    <t>The spoiled brats were having tantrums.</t>
  </si>
  <si>
    <t>The reader is expecting for there to be a plot twist due to the nursery being turned on again.</t>
  </si>
  <si>
    <t>The climax itself, featuring a betrayal from the kids by locking them in the room with lions.</t>
  </si>
  <si>
    <t>The story's ending was open-ended. The reader was questioning the psychologist's role in the death of the parents.</t>
  </si>
  <si>
    <t>Phoebe **</t>
  </si>
  <si>
    <t>"The lions"</t>
  </si>
  <si>
    <t>The wallet was left inside the nursery.</t>
  </si>
  <si>
    <t>The kids went back to the nursery.</t>
  </si>
  <si>
    <t>There were screams.</t>
  </si>
  <si>
    <t>They were about to shut down the nursery.</t>
  </si>
  <si>
    <t>The reader was intrigued because the screams inside the nursery disappeared.</t>
  </si>
  <si>
    <t>The reader felt pity for the kids.</t>
  </si>
  <si>
    <t>The reader was confused as to what was happening, and was just reacting to the dialogue.</t>
  </si>
  <si>
    <t>The house is unusual.</t>
  </si>
  <si>
    <t>The reader found the nursery interesting.</t>
  </si>
  <si>
    <t>The room seemed to have real life Africa.</t>
  </si>
  <si>
    <t>The kids said the room wasn't Africa. It made the reader wonder if the parents just saw wrong if there's just really something wrong.</t>
  </si>
  <si>
    <t>The reader wondered why there were screams.</t>
  </si>
  <si>
    <t>The parents went to the room and got locked inside by their kids. It was interesting.</t>
  </si>
  <si>
    <t>The ending is open to interpretation. Open-ended.</t>
  </si>
  <si>
    <t>The reader was interested that the nursery emulates a scenery, and found it very imaginative of the children to project Africa, but at the same time also found it shocking.</t>
  </si>
  <si>
    <t>Similar to #9, that these thoughts of death and violence were coming from children. It was bizarre and morbid.</t>
  </si>
  <si>
    <t>It felt like the story was introducing what the children do in their spare time when the parents are gone. The reader started to get really interested in the setting, the plot and the overall structure of the story.</t>
  </si>
  <si>
    <t>"I don't remember Africa." The reader felt like they were introducing a small twist. It was also a bit shocking.</t>
  </si>
  <si>
    <t>When the father finally turned off the machines around the house, the reader empathized with him. Especially as at that point the children started lashing out and the reader "started to hate the kids."</t>
  </si>
  <si>
    <t>The theme of the screaming finally came full circle.</t>
  </si>
  <si>
    <t>What's wrong with the nursery? Why call a psychologist?</t>
  </si>
  <si>
    <t>The reader was expecting a nursery, not an African veldt.</t>
  </si>
  <si>
    <t>Why does the nursery have animals? Is it a zoo?</t>
  </si>
  <si>
    <t>Why is there a scream?</t>
  </si>
  <si>
    <t>Why are they being chased by a lion? They're in a nursery???</t>
  </si>
  <si>
    <t>Why is George lauging at Lydia?</t>
  </si>
  <si>
    <t>The reader started to understand that Africa is being projected by the room.</t>
  </si>
  <si>
    <t>The children being punished by being locked out of the nursery.</t>
  </si>
  <si>
    <t>Who's doing the household chores if not them?</t>
  </si>
  <si>
    <t>The lions trying to get out of the room.</t>
  </si>
  <si>
    <t>"We forgot the ketchup." But then the ketchup appears. Wow technology!</t>
  </si>
  <si>
    <t>The sun, the lions, and the smell of blood in a nursery. It doesn't feel right.</t>
  </si>
  <si>
    <t>The kids were thinking about death again and again.</t>
  </si>
  <si>
    <t>There's a scream again, and lions again. So the scenario keeps repeating.</t>
  </si>
  <si>
    <t>The reader felt the nursery should be projecting those children's stories instead of Africa.</t>
  </si>
  <si>
    <t>It's been happening already for so long but the parents didn't pay attention. The reader felt like it was also the parents' fault.</t>
  </si>
  <si>
    <t>George's thoughts aren't being projected in the nursery despite that being the room's purpose.</t>
  </si>
  <si>
    <t>Peter's just a kid; how did he set the room to stay that way?</t>
  </si>
  <si>
    <t>The reader felt that the children were lying about not knowing about Africa.</t>
  </si>
  <si>
    <t>The reader felt the same still, and felt like it was proved further by the nursery changing when the children went.</t>
  </si>
  <si>
    <t>When the kids arrived, suddenly the nursery had a beautiful environment.</t>
  </si>
  <si>
    <t>The dad got angry. You could start to see the dad's personality towards the kids.</t>
  </si>
  <si>
    <t>How did the old wallet get there? The old wallet has blood smears; foreshadowing that the kids want to hurt the dad.</t>
  </si>
  <si>
    <t>The parents are wondering why the nursery changed and only responds to the children.</t>
  </si>
  <si>
    <t>How does the neurotechnology of the room help? The reader felt that the states of the kids were really bad based on what they were thinking.</t>
  </si>
  <si>
    <t>The reader feels that the family has reached this point because the kids are spoiled.</t>
  </si>
  <si>
    <t>So not being allowed to go to New York has started this.</t>
  </si>
  <si>
    <t>The reader was curious how the psychologist would explain the situation.</t>
  </si>
  <si>
    <t>There were screams again. It seems to be a recurring scenario.</t>
  </si>
  <si>
    <t>Either the screams are the parents' or the kids' and that's why they're familiar.</t>
  </si>
  <si>
    <t>The kids are too attached to the nursery. The reader felt the kids wouldn't be able to handle it if it was turned off.</t>
  </si>
  <si>
    <t>The psychologist said "the usual violence" and "slight paranioa" in the kids. The reader was intrigued by this.</t>
  </si>
  <si>
    <t>The situation has been going on for a month but they only gave notice to it just now when it's already so bad.</t>
  </si>
  <si>
    <t>"This is very bad," "have the room torn down," the kids' attachment to the room is so bad.</t>
  </si>
  <si>
    <t>The parents' affection has been replaced by the nursery.</t>
  </si>
  <si>
    <t>The kids feeling persecuted for not getting what they wanted.</t>
  </si>
  <si>
    <t>Can the lions become real? Or are they just projections of the nursery?</t>
  </si>
  <si>
    <t>"Nothing ever likes to die, even a room." They gave feelings to a room: that it doesn't want to die; but it's a room.
Then the scarf appeared. The reader felt the kids were giving these items to help the lions identify their targets.</t>
  </si>
  <si>
    <t>The kids lost it.</t>
  </si>
  <si>
    <t>Lydia also feels that turning the nrusery off is harsh; but the reader feels that's what the family needs since right now they aren't really a family.</t>
  </si>
  <si>
    <t>The kids were talking to the house: treating the house as the parents instead of the biological parents.</t>
  </si>
  <si>
    <t>The kids called the parents. What's going on now? What did they do to the nursery?</t>
  </si>
  <si>
    <t>The parents were locked in from the outside. The reader expected they were going to die already.</t>
  </si>
  <si>
    <t>The kids were talking to the house again.</t>
  </si>
  <si>
    <t>"And then they heard the sounds." They're gonna die already.</t>
  </si>
  <si>
    <t>The parents were about to be attacked. Omg, the kids want the parents to die more than the room to die.</t>
  </si>
  <si>
    <t>So that's what the screams were. This is what the kids wanted this whole time.</t>
  </si>
  <si>
    <t>The parents were missing when McClean arrived.</t>
  </si>
  <si>
    <t>The reader felt that the children were psychotic already.</t>
  </si>
  <si>
    <t>(**) - participant marked too many things as striking, so was just asked to comment about the most highly rated segments</t>
  </si>
  <si>
    <t>TV</t>
  </si>
  <si>
    <t>Sam</t>
  </si>
  <si>
    <t>The lions</t>
  </si>
  <si>
    <t>At first the reader wasn't very sure what was happening. When they said "This is a little too real", the reader started waiting for what's wrong with the nursery.</t>
  </si>
  <si>
    <t>The reader finally realized the nursery can simulate an environment.</t>
  </si>
  <si>
    <t>All the chores are being done by machines.</t>
  </si>
  <si>
    <t>It was the first time the machine spoke in the story.</t>
  </si>
  <si>
    <t>The reader felt that the sentence structure was very deep.</t>
  </si>
  <si>
    <t>Because Aladdin was mentioned, and the reader was shocked and worried that Aladdin would appear and be eaten by the lions. But then Aladdin didn't appear, which was also shocking.</t>
  </si>
  <si>
    <t>When the daughter went to the nursery on her own, the reader worried that something would happen (but nothing did).</t>
  </si>
  <si>
    <t>There is a new character: a psychologist.</t>
  </si>
  <si>
    <t>The children snuck into the nursery.</t>
  </si>
  <si>
    <t>The psychologist said that the parents spoiled the children.</t>
  </si>
  <si>
    <t>The reason the children were acting the way they were was exposed. (Not being permitted to go to New York.)</t>
  </si>
  <si>
    <t>The psychologist was scolding dad for spoiling the kids.</t>
  </si>
  <si>
    <t>They were about to shut down the machines, so the reader felt that a plot twist was about to happen.</t>
  </si>
  <si>
    <t>The kids went crazy and rebelled, locking the parents inside the room with the lions. It felt like the very climax of the story.</t>
  </si>
  <si>
    <t>Same as 66.</t>
  </si>
  <si>
    <t>Same as 66.
Annotated emotions became extreme happiness because the reader felt that story became nicer because of this twist.</t>
  </si>
  <si>
    <t>The reader continued to be curious as to why the screams sounded familiar. (The reader didn't seem to understand and had it explained to her.)</t>
  </si>
  <si>
    <t>Environment: Cold room.
Headset: No effect.
Software: Some parts are very short and have little engagement, not as easy to gauge for emotions than the other parts.</t>
  </si>
  <si>
    <t>~Sitting down
~Normal room temperature
~Physical books</t>
  </si>
  <si>
    <t>~Past experience
~Sympathizing with the characters
~Passage construction</t>
  </si>
  <si>
    <t>~The reader didn’t know and was amazed that there was this kind of device that could read brain waves. “Natuwa ako sa device.” It was a cool experience getting to try the device.
~In reading the segments, there were some parts where the reader was drifting because the segment was boring and she wasn’t interested in it.</t>
  </si>
  <si>
    <t>The room was really cold though and contributed to the feeling of wanting to doze while reading.</t>
  </si>
  <si>
    <t>~It was okay, but some segments were too short or had too little engagement to generate emotions.</t>
  </si>
  <si>
    <t>some parts too short / too little engagement for emotions</t>
  </si>
  <si>
    <t>normal room temperature</t>
  </si>
  <si>
    <t>Past experience</t>
  </si>
  <si>
    <t>Passage construction</t>
  </si>
  <si>
    <t>reader felt sad that the children depend on the nursery more than on their parents</t>
  </si>
  <si>
    <t>cool experience getting to try the device</t>
  </si>
  <si>
    <t>The lions gave the reader a feeling of unease for the characters.</t>
  </si>
  <si>
    <t>The story wasn't as chopped up so the story was progressing.</t>
  </si>
  <si>
    <t>There were some conversational exchanges that gave the segments a casual setting where the reader could imagine the husband and wife talking. The description gives a good visualization of what's happening.</t>
  </si>
  <si>
    <t>The reader also sympathized with the children because the dad talked about locking the children out of the nursery.</t>
  </si>
  <si>
    <t>The length of the segments sparked the reader's interest.</t>
  </si>
  <si>
    <t>The segments mentioned some familiar story characters like Alice, Aladdin and Dr. Doolittle.</t>
  </si>
  <si>
    <t>The description of the setting was really good.</t>
  </si>
  <si>
    <t>The use of similes and metaphors were good in this segment like "eyes like bright blue agape marble" and "a smell of ozone".</t>
  </si>
  <si>
    <t>The children seemed happy with their strawberry ice cream and hot dog.</t>
  </si>
  <si>
    <t>There was conflict between the husband and wife.</t>
  </si>
  <si>
    <t>The line "Children are carpets, they should be stepped on occasionally" made the reader feel unhappy with the parents for being willing to treat their kids that way.</t>
  </si>
  <si>
    <t>The segment was conversational and easy to read.</t>
  </si>
  <si>
    <t>There was conflict because one wants to close the nursery while the other doesn't want to.</t>
  </si>
  <si>
    <t>The segment was conversational.</t>
  </si>
  <si>
    <t>The husband was very assertive to the wife.</t>
  </si>
  <si>
    <t>The house was full of dead bodies, it seemed. It felt like a mechanical cemetery. So silent. The reader was affected because the theme of the segment was death.</t>
  </si>
  <si>
    <r>
      <rPr>
        <i/>
        <sz val="11"/>
        <color theme="1"/>
        <rFont val="Calibri"/>
        <family val="2"/>
        <scheme val="minor"/>
      </rPr>
      <t>The segment has very extreme annotated feelings.</t>
    </r>
    <r>
      <rPr>
        <sz val="11"/>
        <color theme="1"/>
        <rFont val="Calibri"/>
        <family val="2"/>
        <scheme val="minor"/>
      </rPr>
      <t xml:space="preserve"> The psychologist empathizes that the situation is very bad, and the reader was worried about what "very bad" meant.</t>
    </r>
  </si>
  <si>
    <t>Environment: Dysmenorrhea was painful and distracting.
Headset: Became painful the latter half.
Software: The range of emotions in the UI was confusing, so the reader based her reactions on the face images.</t>
  </si>
  <si>
    <t>~e-Book and articles on a laptop
~Not laptop: lying down
~Laptop: sitting down</t>
  </si>
  <si>
    <r>
      <rPr>
        <sz val="7"/>
        <color rgb="FF000000"/>
        <rFont val="Calibri"/>
        <family val="2"/>
        <scheme val="minor"/>
      </rPr>
      <t xml:space="preserve"> </t>
    </r>
    <r>
      <rPr>
        <sz val="11"/>
        <color rgb="FF000000"/>
        <rFont val="Calibri"/>
        <family val="2"/>
        <scheme val="minor"/>
      </rPr>
      <t>Environment: yes, right now it’s not that cold so reader was able to focus more</t>
    </r>
  </si>
  <si>
    <t>Story
~Relationship between the parents and the children in the setting of advanced technology (Able to see this happening now in the current technology).
~For the parents: how to take care of your children</t>
  </si>
  <si>
    <t>~The reader liked the story. She felt like she already knew what was going to happen in the story, as if someone told it to her before. She was certain that the parents were going to die.
~The reader was confused at the start as she wasn’t sure if the segments were continuous or from different parts of the story.</t>
  </si>
  <si>
    <t>The emojis could use improvement or further explanation.</t>
  </si>
  <si>
    <t>It was okay, but at first the reader wasn’t familiar enough with the story to really annotate her emotions.</t>
  </si>
  <si>
    <t>dysmenorrhea was painful and distracting</t>
  </si>
  <si>
    <t>when feeling suspense, reader gets confused if he/she is annotating the previous segment or the next segment</t>
  </si>
  <si>
    <t>range of emotions in the UI was confusing</t>
  </si>
  <si>
    <t>laptop</t>
  </si>
  <si>
    <t>~message / moral of the story</t>
  </si>
  <si>
    <t>reader felt that someone told it to them before</t>
  </si>
  <si>
    <t>reader wasn't sure at the start if the segments were continuous</t>
  </si>
  <si>
    <t>annotating was sometimes hard because there's not much going on in the segment</t>
  </si>
  <si>
    <t>if story is long, reader cannot remember what happened in the first few parts and how it builds up the scene</t>
  </si>
  <si>
    <t>this method makes it easier for the reader to gather his/her actual thoughts about the segment than annotating at the end</t>
  </si>
  <si>
    <t>*automated these based on Key Questions tab</t>
  </si>
  <si>
    <t>reader wasn’t familiar enough with the story to really annotate their emotions</t>
  </si>
  <si>
    <t>The reader has an idea already on what's going on in the room.</t>
  </si>
  <si>
    <t>Environment: No.
Headset: The headset was painfully tight.
Software: The sliders are a bit hard to click.</t>
  </si>
  <si>
    <t>~Similar to room environment
~Sitting down with a laptop</t>
  </si>
  <si>
    <t>~The way the passage was phrased
~Plot</t>
  </si>
  <si>
    <t>~The headset was unfortunately painfully tight
~But aside from that it was okay.</t>
  </si>
  <si>
    <t>~The sliders should be something clickable maybe.
~Also, the first time the reader clicked Next she also accidentally clicked Submit immediately.</t>
  </si>
  <si>
    <t>It was okay.</t>
  </si>
  <si>
    <t>painfully tight</t>
  </si>
  <si>
    <t>sliders are hard to click</t>
  </si>
  <si>
    <t>I've separated general tallies (Character) from specific tallies (Sympathizing) for mine when possible  -Shar</t>
  </si>
  <si>
    <t>The sliders should be something clickable maybe.</t>
  </si>
  <si>
    <t>The first time the reader clicked Next they also accidentally clicked Submit immediately.</t>
  </si>
  <si>
    <t>Environment: Yes, the reader feels that if she’s ?locked? out it helps her concentrate on the story more and not get distracted by her ?phone?.
Headset: It hurt, making it hard to concentrate
Software: The software was really nice and familiar since they do this kind of thing in their high school.</t>
  </si>
  <si>
    <t>~Sitting up or lying down
~Books and e-books</t>
  </si>
  <si>
    <t>~The reader was really confused at first but as she continued reading the story, she found it interesting. She also thought the kids were psychopathic.
~Sometimes when she reads she forgets that there’s something on her head, which was nice. Then when annotation comes, she remembers the device again.
~It was a fun experience.</t>
  </si>
  <si>
    <t>The reader found it slightly annoying as she prefers to read for a long amount of time. She likes to know immediately what happens next.</t>
  </si>
  <si>
    <t>software was nice and familiar</t>
  </si>
  <si>
    <t>thought kids were psychopathic</t>
  </si>
  <si>
    <t>Environment: Increased focus: The room was quiet so the reader wasn’t distracted.
Headset: At first it was okay, but after a while, the reader started feeling the headset, but it wasn’t distracting.
Software: It was easy to use, and straightforward.</t>
  </si>
  <si>
    <t>~Anywhere, as long as the position is comfortable and allows for reading.
~Book or e-book, whichever’s available.</t>
  </si>
  <si>
    <t>~Plot
~Sympathy for characters</t>
  </si>
  <si>
    <t>~The story was nice.
~The reader felt that it was nice that she was being asked to record her emotions at the time.</t>
  </si>
  <si>
    <t>It was nice.</t>
  </si>
  <si>
    <t>~The reader felt she was slow at first, but eventually got faster at annotation.
~At the end part, she wanted to know what was happening instead of annotate, but the process still wasn’t too distracting.</t>
  </si>
  <si>
    <t>eventually uncomfortable but not irritating</t>
  </si>
  <si>
    <t>story was nice</t>
  </si>
  <si>
    <t>Sometimes when they read they forget that there’s something on their head, which was nice. Then when annotation comes, they remember the device again.</t>
  </si>
  <si>
    <t>reader felt that it was nice that they was being asked to record their emotions at the time</t>
  </si>
  <si>
    <t>reader felt they was slow at first, but eventually got faster at annotation</t>
  </si>
  <si>
    <t>Environment: No.
Headset: A bit uncomfortable for the part behind the ear but bearable.
Software: Usually the changes the reader makes are small so he wishes the sliders stayed in the previous setting.</t>
  </si>
  <si>
    <t>~Sitting up or lying down
~Phone</t>
  </si>
  <si>
    <t>~Story
~Characters</t>
  </si>
  <si>
    <t>~At first the reader felt clueless as to what was happening and his perception of the story’s setting kept changing. Like thinking that the nursery was a toy space, but in fact it was a simulation space. So the concept of the book’s setting gets built up over time.
~There were segments though that cut off at a cliffhanger moment.
~The headset device felt a bit uncomfortable but it was bearable. And the atmosphere was calm.</t>
  </si>
  <si>
    <t>A setting for the sliders to keep track of previous configurations.</t>
  </si>
  <si>
    <t>It was okay, but there were a lot of segments.</t>
  </si>
  <si>
    <t>wish the sliders stayed in the previous setting</t>
  </si>
  <si>
    <t>story gets built up over time</t>
  </si>
  <si>
    <t>There were segments though that cut off at a cliffhanger moment</t>
  </si>
  <si>
    <t>there was a lot of segments</t>
  </si>
  <si>
    <t>Environment: No.
Headset: Yes, as it was giving a bit of a headache and making the reader tired.
Software: No.</t>
  </si>
  <si>
    <t>~Sitting down
~Physical book
~Continuous reading</t>
  </si>
  <si>
    <t>~Setting
~Plot</t>
  </si>
  <si>
    <t>~Headset gives a bit of a headache and makes the reader sleepy.</t>
  </si>
  <si>
    <t>It was okay, but it would be nicer to read everything then annotate</t>
  </si>
  <si>
    <t>made the reader tired</t>
  </si>
  <si>
    <t>continuous reading</t>
  </si>
  <si>
    <t>Environment: The cold temperature made the reader sleepy.
Headset: The reader found the headset painful and distracting after a while.
Software: The software wasn’t eye-catching / appealing.</t>
  </si>
  <si>
    <t>~Sitting down
~Physical book
~Normal room temperature
~Not an avid reader</t>
  </si>
  <si>
    <t>Reader didn't understand the story</t>
  </si>
  <si>
    <t>It was fun.</t>
  </si>
  <si>
    <t>The reader found it annoying because she wanted to read the following segment already.</t>
  </si>
  <si>
    <t>UI not pretty</t>
  </si>
  <si>
    <t>not an avid reader</t>
  </si>
  <si>
    <t>Reader didn't understand the story (was distracted)</t>
  </si>
  <si>
    <t>The reader was interested in the brainwaves and Tintin’s thesis.</t>
  </si>
  <si>
    <t>Environment: No, the room is similar to the usual reading room.
Headset: It was slightly distracting. I tried to ignore the feeling of it on my head and tried not to let it affect my evaluation.
Software: The UI itself is okay.</t>
  </si>
  <si>
    <t>~Physical book
~Leisure: lying down
~Required: sitting down, continuous</t>
  </si>
  <si>
    <t>~Plot
~Bias due to preference</t>
  </si>
  <si>
    <t>~Story: Dislikes the chopping of the story into segments with evaluation immediately after. Felt that his emotion would be dependent on the next segments.
~Story: Has bias against story because his usual genre is Murakami books so was bored and not as interested.
~Participation: He felt he started evaluating what he should feel during the segment instead of what he feels while reading. Not as immersive.
~Participation: Also, he was aware of being observed, and because of that knows that there is a shift in how he felt and behaved as opposed to not being observed.</t>
  </si>
  <si>
    <t>Expressed interest in knowing how other people behave or feel during the research as compared to his own.</t>
  </si>
  <si>
    <t>Distracts from immersion into the story. Sometimes felt the evaluation for the segment would be based on the next segment.</t>
  </si>
  <si>
    <t>slightly distracting</t>
  </si>
  <si>
    <t>Bias against story due to preferences</t>
  </si>
  <si>
    <t>distracted by temperature (too hot)</t>
  </si>
  <si>
    <t>distracted by temperature (too cold)</t>
  </si>
  <si>
    <t>environment is okay</t>
  </si>
  <si>
    <t>prefers to be alone, but also okay since it's quiet</t>
  </si>
  <si>
    <t>reader does not know what to choose in slider if feelings are in between</t>
  </si>
  <si>
    <t>prefers a place to lean head on</t>
  </si>
  <si>
    <t>~emotions running through parents and kids</t>
  </si>
  <si>
    <t>~when you realize you dislike the children but act like that sometimes</t>
  </si>
  <si>
    <t>experience is ok since it's the reader's first time using this technology</t>
  </si>
  <si>
    <t>cool and motivating that this kind of research is being done</t>
  </si>
  <si>
    <t>reader felt that he/she had to read and answer a bit faster</t>
  </si>
  <si>
    <t>overall nice experiment</t>
  </si>
  <si>
    <t>makes reader realize that he/she could also be engrossed in a story outside preferred genre</t>
  </si>
  <si>
    <t>amazing software because it gathers a lot of data about the participant</t>
  </si>
  <si>
    <t>participant rates it 8 out of 8(?) mate(?) nate(?) - laurence</t>
  </si>
  <si>
    <t>Emoticon is sometimes confusing – whether reader should follow emoticon meaning or the question</t>
  </si>
  <si>
    <t>On asking the interest of the reader during annotation, it may be better to ask if reader is excited for the next segment</t>
  </si>
  <si>
    <t>prefers this method over annotating everything at the end</t>
  </si>
  <si>
    <t>a bit of a hassle to go over it again, especially when reader is already emotional for a segment</t>
  </si>
  <si>
    <t>dislikes the read-annotate model</t>
  </si>
  <si>
    <t>reader felt that their emotion would be dependent on the next segment</t>
  </si>
  <si>
    <t>has bias against story due to preferred genre</t>
  </si>
  <si>
    <t>Reader felt they were evaluating what they should feel instead of what they actually feel.</t>
  </si>
  <si>
    <t>Reader felt they acted differently due to being observed.</t>
  </si>
  <si>
    <t>distracts from story</t>
  </si>
  <si>
    <t>felt that emotions would be based on the next segment</t>
  </si>
  <si>
    <t>Environment: The reader was not used to reading through a screen.
Headset: It was a bit uncomfortable because she was not used to having something on her head.
Software: No.</t>
  </si>
  <si>
    <t>~Lying down
~Physical book
~Colder temperature</t>
  </si>
  <si>
    <t>~Story elements
~Phrasing of passages</t>
  </si>
  <si>
    <t>The reader felt pressure and wasn’t able to enjoy the story because she was aware she was being observed by the device on her head.</t>
  </si>
  <si>
    <t>The reader found it difficult because the need to evaluate removes her focus from the story.</t>
  </si>
  <si>
    <t>not used to reading through a screen</t>
  </si>
  <si>
    <t>colder temperature</t>
  </si>
  <si>
    <t>Reader was distracted from the story due to pressure of being observed.</t>
  </si>
  <si>
    <t>Environment: He felt more attentive and more focused on the story because he was seated.
Headset: In the latter part, the headset started becoming irritating because it was tight and he couldn’t adjust it.
Software: No.</t>
  </si>
  <si>
    <t>~Mostly the same environment
~Sitting down in a couch in his most relaxed slouch
~Chips</t>
  </si>
  <si>
    <t>~The headset gave the feeling of being tested in a hospital because it is white. If it was black it would feel less like a hospital device and more like earphones.
~He felt amazed because he didn’t know you can use these kinds of devices to study brainwaves.</t>
  </si>
  <si>
    <t>More sizes for the headset if possible.</t>
  </si>
  <si>
    <t>chips :)</t>
  </si>
  <si>
    <t>white headset felt hospital-like</t>
  </si>
  <si>
    <t>amazed that such small devices to study brainwaves exist</t>
  </si>
  <si>
    <t>More headset sizes please</t>
  </si>
  <si>
    <t>Environment: Yes, because the setting and the reader’s position is different to her usual.
Headset: Yes. At first it was fine, but in the later half it was a bit painful. The reader started getting bothered instead of focusing on the story.
Software: No, the software was okay.</t>
  </si>
  <si>
    <t>~Lying down on a bed
~Physical book</t>
  </si>
  <si>
    <t>~Plot</t>
  </si>
  <si>
    <t>It was okay, the story was nice, but the headset is a bit painful and bothersome.</t>
  </si>
  <si>
    <t>It’s hard to assess every page. It would be better if assessment was overall or over half or something. If it’s per page, sometimes there’s no emotion, just neutral.</t>
  </si>
  <si>
    <t>environment was different to usual</t>
  </si>
  <si>
    <t>It would be better if assessment was overall or over half or something.</t>
  </si>
  <si>
    <t>Environment: Yes. The reader felt more focused on the story because of the quiet and from being alone. She was also not used to reading from a screen, and it’s a bit awkward to have been seated for so long. There might be a more comfortable position.
Headset: The reader noticed eventually that it became a bit painful.
Software: No.</t>
  </si>
  <si>
    <t>~Physical book
~Rereads last 2 sentences when there's a plot twist to understand what's happening.</t>
  </si>
  <si>
    <t>~Story elements mostly
~Characters once</t>
  </si>
  <si>
    <t>~The story really makes you think. Especially for the first part since you don’t know the setting yet.
~The big picture only formed at the end.
~Although it was normal to be reading, there was a slight bit of pressure from being observed and assessing your feelings 72 times.</t>
  </si>
  <si>
    <t>~“Cute.” When reading, it’s not normal to evaluate feelings, so the reader found it kinda cute that she had to do so. It also felt like she was assessing where was the climax of the plot.
~There are moments though that felt short. Like “what’s next?”</t>
  </si>
  <si>
    <t>the story makes you think</t>
  </si>
  <si>
    <t>There was a bit of pressure due to being observed.</t>
  </si>
  <si>
    <t>There was a bit of pressure from assessing their feelings 72 times.</t>
  </si>
  <si>
    <t>Environment: No. It was okay.
Headset: Yes, the headset was a bit uncomfortable, especially after a little while.
Software: No, the software was simple and easy to read “which is convenient.”</t>
  </si>
  <si>
    <t>~Sitting or lying down in my room
~Physical book</t>
  </si>
  <si>
    <t>~Empathized with parents: trying to identify where the parents were coming from and why they were doing the things they were doing in the story</t>
  </si>
  <si>
    <t>~Experience was overall okay except for the headset.
~The reader felt really interested in where the story would go.
~For the headset, it was slightly uncomfortable, but the reader was interested where this kind of technology would lead.</t>
  </si>
  <si>
    <t>The reader seemed unbothered by it.</t>
  </si>
  <si>
    <t>For the headset, it was slightly uncomfortable, but the reader was interested where this kind of technology would lead.</t>
  </si>
  <si>
    <t>Environment: No, the environment is similar to the usual reading environment.
Headset: As time goes by, the headset becomes increasingly noticeable and irritating.
Software: The segments are too short for evaluation, especially for someone who normally reads for hours straight. Edit from the future: The UI itself is fine, but she got used to ignoring the Striking checkbox.</t>
  </si>
  <si>
    <t>~Sitting or standing
~Mostly PC or phone, sometimes physical books</t>
  </si>
  <si>
    <t>~Mostly plot
~A bit of character
~Sometimes "Others" for the headset or spoilers from being a facilitator</t>
  </si>
  <si>
    <t>~The reader was forewarned so that might be why she didn’t find plot twists to be shocking and put it down to foreshadowing.
~Started rushing starting Segment 20 because of the headset.</t>
  </si>
  <si>
    <t>Reader had her own rubric for evaluation based on extremity of emotion felt.</t>
  </si>
  <si>
    <t>Segments felt too short for evaluation with some segments not providing much emotions.</t>
  </si>
  <si>
    <t>standing up</t>
  </si>
  <si>
    <t>Spoilers from being a facilitator</t>
  </si>
  <si>
    <t>The reader was forewarned so that might be why they didn’t find plot twists to be shocking and put it down to foreshadowing.</t>
  </si>
  <si>
    <t>Eventually started rushing because of the headset</t>
  </si>
  <si>
    <t>Environment: Yes. The reader felt that she would absorb the story better if she were at home lying down. Also, the cold temperature was making her sleepy.
Headset: Yes. It was distracting, the reader wanted to move the headset (but can’t).
Software: Yes. Sometimes the reader felt that she needed to understand more what she felt at the moment. It made her think “what should I feel?”</t>
  </si>
  <si>
    <t>~Lying down
~At home
~Warmer temperature</t>
  </si>
  <si>
    <t>~Story elements</t>
  </si>
  <si>
    <t>~The story is something new and intriguing even if at first you don’t understand you’ll want to understand. The ending is expected, though she would prefer if it was the kids who died (“just kidding”). The reader also wondered how the psychologist didn’t expect this to happen.
~It was the first time the reader read something with a device on her head. She felt it affected her ability to understand the story as she felt pressure from being observed.</t>
  </si>
  <si>
    <t>It takes a while. I prefer reading continuously instead of per segment there’s an evaluation.</t>
  </si>
  <si>
    <t>uncomfortable / distracting</t>
  </si>
  <si>
    <t>The form of the passage and the use of word murder.</t>
  </si>
  <si>
    <t>The lions keep roaring.</t>
  </si>
  <si>
    <t>The reader was shocked that the kids would talk to their parents like that.</t>
  </si>
  <si>
    <t>at first, reader thought they were being attacked by lions and that things were real. Then the child explained that it wasn’t real and just imagination.</t>
  </si>
  <si>
    <t>Although the reader also wasn't sure why the husband wanted to lock the nursery, they didn't like the wife's reaction.</t>
  </si>
  <si>
    <t>they felt it was time for a vacation after what they felt in the past segments</t>
  </si>
  <si>
    <t>everything was automated</t>
  </si>
  <si>
    <t>the whole house is high tech</t>
  </si>
  <si>
    <t>they didn’t even once consider doing things on their own instead of relying on automation</t>
  </si>
  <si>
    <t>reader thinks it's very comfortable that you won't need to do household chores, but the reason decreases for a person's duty</t>
  </si>
  <si>
    <t>Striking because kids are thinking about death</t>
  </si>
  <si>
    <t>reader wonders why crystal wall simulation feels so realistic</t>
  </si>
  <si>
    <t>they had the realization that they cant control what's happening with the kids, and later on that they also cant control what's happening in the room. And that they're powerless, and the kids have the power over the room</t>
  </si>
  <si>
    <t>when they're testing out the nursery and it doesn’t work</t>
  </si>
  <si>
    <t>funny because they wanted to
 make the lion seem real</t>
  </si>
  <si>
    <t>funny because they wanted to 
make the lion seem real</t>
  </si>
  <si>
    <t>The reader felt that they guessed right when the son claimed that he doesn't remember Africa.</t>
  </si>
  <si>
    <t>The reader was interested when the son claimed not to understand the dad's claims about Africa. They thought that the son might not know about Africa.</t>
  </si>
  <si>
    <t>this clinched the thought that children feel resentment towards their parents</t>
  </si>
  <si>
    <t>The reader was surprised that the nursery wasn't Africa, and found the described environment to be really pretty. At the same time, they wondered what happened to Africa.</t>
  </si>
  <si>
    <t>Even in the middle of the night, they're still talking about the nursery.</t>
  </si>
  <si>
    <t>The reader was also surprised when the husband said that he will lock the nursery.</t>
  </si>
  <si>
    <t>reader feels curious</t>
  </si>
  <si>
    <t>reader thought the screams were from wendy and peter</t>
  </si>
  <si>
    <t>why are there screams again 
and who are these</t>
  </si>
  <si>
    <t>why are there screams again and who are these</t>
  </si>
  <si>
    <t>the characters were fighting, because the parents want to close it but the kids don't want to</t>
  </si>
  <si>
    <t>"the usual violences," from the start it raised red flags.</t>
  </si>
  <si>
    <t>The psychologist empathizes that the situation is very bad, and the reader was worried about what "very bad" meant.</t>
  </si>
  <si>
    <t>the question "the lions look real, don't they?" makes the reader doubt again if the lions are real or not</t>
  </si>
  <si>
    <t>They would become real --&gt; the reader was then sure that she knows what's going to happen next 
build up from the children's tantrums</t>
  </si>
  <si>
    <t>reader was curious about how the bloody scarf got there</t>
  </si>
  <si>
    <t xml:space="preserve">recurring lions and screams: reader felt that the happenings were real
</t>
  </si>
  <si>
    <t>big words from a child</t>
  </si>
  <si>
    <t>a child wishing a parent to be dead over the house is just bad</t>
  </si>
  <si>
    <t>"I wish you were dead!" The reader was wondering if the kids were imagining that their parents were dead.</t>
  </si>
  <si>
    <t>the wife is confusing. Reader thought she wanted to stop and now changed her mind</t>
  </si>
  <si>
    <t>After shutting down the nursery and insisting that it stay shut, the husband relented to open it for a minute. The reader was surprised and dismayed because obviously the kids were planning something.</t>
  </si>
  <si>
    <t>there is already no hope for the children to change their mind, and it's sad to see the story really turn out this way</t>
  </si>
  <si>
    <t>reader was excited on what would happen to the next segment because it didn’t end here</t>
  </si>
  <si>
    <t>The reader wondered if the parents were already dead.</t>
  </si>
  <si>
    <t>The reader wondered why the children had no reaction to their parents being killed.</t>
  </si>
  <si>
    <t>There was a feeling of helplessness as the room did not obey the command.</t>
  </si>
  <si>
    <t>when the room changed to not africa</t>
  </si>
  <si>
    <t>On arguing about shutting the nursery down.</t>
  </si>
  <si>
    <t>The psychologist suggested to shut down the simulation room to encourage the kids to live in the real world.</t>
  </si>
  <si>
    <t>children getting angry at parents for closing the nursery</t>
  </si>
  <si>
    <t>reader wanted to go into the story and scold the children for being too much</t>
  </si>
  <si>
    <t>The story's ending was open-ended.</t>
  </si>
  <si>
    <t>The reader was questioning the psychologist's role in the death of the parents.</t>
  </si>
  <si>
    <t>Reader could relate to the psychologists. "A psychologist never saw a fact in his life."</t>
  </si>
  <si>
    <t>The reader was starting to understand the plot.</t>
  </si>
  <si>
    <t>It felt dream-like and like a typical dream setting for the reader. They feel they'll remember the story if they have a dream with this setting.</t>
  </si>
  <si>
    <t>"Too much of anything isn't good for anyone." It's overused but the reader can relate so much to the line.</t>
  </si>
  <si>
    <t>It's bizzare and morbid that these thoughts of death and violence were coming from children.</t>
  </si>
  <si>
    <t>It felt like the story was introducing what the children do in their spare time when the parents are gone.</t>
  </si>
  <si>
    <t>The reader started to get really interested in the setting, the plot and the overall structure of the story.</t>
  </si>
  <si>
    <t>Parents didn't spend a lot of time with the kids. Dad mentioned at some point he was busy. They left so much of taking care of the kids with the automated house and the nursery to tell them story. They neglected the kids so they were replaced by robots, non-humans.</t>
  </si>
  <si>
    <t>Reminded the reader of a video called "Humans Need Not Apply" on this topic for the job industry. What will humans do?</t>
  </si>
  <si>
    <t>The kids asked for lions, they got lions. Zebras, zebras. Death, death. The reader felt it was foreshadowing.</t>
  </si>
  <si>
    <t>The reader thought the screams were coming from the children and not the room, so why weren't the parents checking on their kids?</t>
  </si>
  <si>
    <t>"Life pretty much means you only watch and listen." The reader thought that this looked like the future: The kids growing up super spoiled because everything was done by machines.</t>
  </si>
  <si>
    <t>funny, makes you doubt if the lions are real or artificial</t>
  </si>
  <si>
    <t>The reader felt the kids were lying and felt like it was proved further by the nursery changing when the children went.</t>
  </si>
  <si>
    <t>"Nothing ever likes to die, even a room." They gave feelings to a room: that it doesn't want to die; but it's a room.</t>
  </si>
  <si>
    <t>The scarf appeared. The reader felt the kids were giving these items to help the lions identify their targets.</t>
  </si>
  <si>
    <t>Because Aladdin was mentioned, and the reader was shocked and worried that Aladdin would appear and be eaten by the lions.</t>
  </si>
  <si>
    <t>Aladdin didn't appear, which was shocking.</t>
  </si>
  <si>
    <t>The reader felt that story became nicer because of this twist.</t>
  </si>
  <si>
    <t>~Is that the whole story? 1001 nights of stories with Shahrazad?
~The reader suggests to only say that: There’s a king and his old wife (now executed) tried to kill him. He has a new wife, the daughter of his Vizier, and he plans to kill her as well. During the night, his new wife Shahrazad tells him a story and it starts here. No need to mention that Shahrazad is trying to delay her execution or imply that she will cut off the story. This way, all cliffhangers are natural (ish).
~An option to say “anxious for the next part”.</t>
  </si>
  <si>
    <t>The reader didn’t notice that the fisherman had already opened the chest and found it full of sand. She was wondering why the fisherman didn’t open the chest before pushing it back into the sea.</t>
  </si>
  <si>
    <t>The reader was wondering again what Shahrazad’s sister, Dunyazad, was doing under the bed, especially while Shahrazad and the king was going at it.</t>
  </si>
  <si>
    <t>The reader was wondering what Shahrazad’s sister, Dunyazad, was doing under the bed.</t>
  </si>
  <si>
    <t>Setting? Character? (Particularly the sister under the bed.)
~The reader had no extremes or striking segments. The reader thinks it’s because it’s a story to give a moral, somewhat fable-like.</t>
  </si>
  <si>
    <t>makes participant dizzy (not used to staring at screens for long periods)</t>
  </si>
  <si>
    <t>makes participant dizzy (not used to staring at screens_x000D_for long periods)</t>
  </si>
  <si>
    <t>Physical books and e-books</t>
  </si>
  <si>
    <t>Standing</t>
  </si>
  <si>
    <t>Sitting down</t>
  </si>
  <si>
    <t>Dunyazad being under the bed</t>
  </si>
  <si>
    <t>Nice and amusing story</t>
  </si>
  <si>
    <t>Is that the whole story? 1001 nights of stories with Shahrazad?</t>
  </si>
  <si>
    <t>The reader suggests to only say that: There’s a king and his old wife (now executed) tried to kill him. He has a new wife, the daughter of his Vizier, and he plans to kill her as well. During the night, his new wife Shahrazad tells him a story and it starts here. No need to mention that Shahrazad is trying to delay her execution or imply that she will cut off the story. This way, all cliffhangers are natural (ish).</t>
  </si>
  <si>
    <t>An option to say “anxious for the next part”.</t>
  </si>
  <si>
    <t xml:space="preserve">~Story: Cliffhanger. Story feels the same as a manga the reader read before so reader was thinking if this would also have romance. Reader wants more. Reader already read the manga so she didn’t get surprised anymore (TL notes: I also know the manga she’s talking about hahaha. It really is a romance manga)
~Experience: still fun, still as exciting as the first, though not as much striking moments
</t>
  </si>
  <si>
    <t>~Environment: No. Reader is usually immersed when reading because she’s so focused on the setting.
~Headset: Not as uncomfortable since the reader already knows what to expect.
~Software: Straightforward. Easy to figure out what to do. The emojis are okay since sometimes it’s easier to imagine emojis than words to compare feelings to.</t>
  </si>
  <si>
    <t>~e-book / physical book
~read anywhere</t>
  </si>
  <si>
    <t>~Character
~Plot and setting
~Story in a story in a story</t>
  </si>
  <si>
    <t>Actual thoughts are easier to process and annotate doing this read-annotate than annotating at the end.</t>
  </si>
  <si>
    <t>2. How was this story compared to x story?</t>
  </si>
  <si>
    <t>n/a
If not given a preface: The reader would’ve been confused, but she thinks she would have understood by the end.</t>
  </si>
  <si>
    <t>~It was a nice and amusing story.</t>
  </si>
  <si>
    <t>The Veldt: The reader prefers The Veldt due to the genre. But she would also like to read the rest of the stories.</t>
  </si>
  <si>
    <t>The imagery was very nice in the segment. You can really imagine the scene.</t>
  </si>
  <si>
    <t>The reader found it unexpected because the jinnie usually asks for 3 wishes.</t>
  </si>
  <si>
    <t>The jinni didn't kill the fisherman, which the reader wasn't expecting.</t>
  </si>
  <si>
    <t>emojis are easier to understand than words</t>
  </si>
  <si>
    <t>Any position</t>
  </si>
  <si>
    <t>Anywhere</t>
  </si>
  <si>
    <t>Story in a story in a story was cool, not confusing</t>
  </si>
  <si>
    <t>The experience was still cool and fun.</t>
  </si>
  <si>
    <t>~Story: The story in a story in a story was cool. Some stories like this are confusing, but for this one you can follow the progression without getting confused.
~Story: Because of knowing the background, nothing was striking for first level story (Shahrazad).
~The experience was still cool and fun.
~Process is still nice and the reader can see her progression of interest in the story.</t>
  </si>
  <si>
    <t>The Veldt: The genre is so different compared to The Veldt. This one is more adventure and fantasy; a happy story but with lessons as well. The audience is for all ages, unlike The Veldt which is for mature people. The reader enjoyed this one more because she prefers this type of story.</t>
  </si>
  <si>
    <t>Process is nice and the reader can see her progression of interest in the story.</t>
  </si>
  <si>
    <t>Actual thoughts are easier to process and annotate with this model</t>
  </si>
  <si>
    <t>2. How was it compared to The Veldt?</t>
  </si>
  <si>
    <t>3. If I hadn't given the preface, would you still understand the story?</t>
  </si>
  <si>
    <t>Genre is different</t>
  </si>
  <si>
    <t>Prefers The Fisherman and the Jinni</t>
  </si>
  <si>
    <t>Prefers The Veldt</t>
  </si>
  <si>
    <t>There's a chance the reader would be confused</t>
  </si>
  <si>
    <t>The reader would've been confused, but would've understood by the end</t>
  </si>
  <si>
    <t>The Fisherman and the Jinni is for all ages</t>
  </si>
  <si>
    <t>~Story: reader was confused because there’s a sudden plot twist when the woman bet her fingers just to get the cars back since they’re not hers. Story was interesting because the little man would bet the cars in return for a finger. Reader wonders why he did that. Reader felt that the way the little man spoke is his distinct feature that separates him from the other characters, though reader is still confused about the relationship of the woman and the little man. Writing style was not distracting and added more emphasis that the little man was this kind of guy. 
~Experiment: no answer</t>
  </si>
  <si>
    <t>Environment: No, but reader was distracted by something.
Headset: Still uncomfortable.
Software: It was okay but when reading you want to read continuously. The reader wished the segments were longer.</t>
  </si>
  <si>
    <t>~The story was very interesting and the reader wants to read more.
~Doing the process again: The reader understood it more, but had difficulty when she had mixed feelings about a segment, such as amusement and pity for a character.</t>
  </si>
  <si>
    <t>The reader is used to reading continuously.</t>
  </si>
  <si>
    <t>slightly uncomfortable</t>
  </si>
  <si>
    <t>Longer segments</t>
  </si>
  <si>
    <t>Physical book</t>
  </si>
  <si>
    <t>Phone</t>
  </si>
  <si>
    <t>Lying down</t>
  </si>
  <si>
    <t>Interesting story</t>
  </si>
  <si>
    <t>The reader understood it more, but had difficulty when they had mixed feelings about a segment, such as amusement and pity for a character.</t>
  </si>
  <si>
    <t>Suddenly the fisherman started singing.</t>
  </si>
  <si>
    <t>Why is there a donkey in the river?</t>
  </si>
  <si>
    <t>The fisherman attempted a second time.</t>
  </si>
  <si>
    <t>The fisherman was introduced to be a believer of God.</t>
  </si>
  <si>
    <t>The fisherman attempted a third time.</t>
  </si>
  <si>
    <t>The fisherman got a jinni.</t>
  </si>
  <si>
    <t>Who is Suleiman?</t>
  </si>
  <si>
    <t>The background of the jinni is told.</t>
  </si>
  <si>
    <t>The fisherman did the jinni a favor, why is the jinni trying to kill him?</t>
  </si>
  <si>
    <t>The jinni will give the fisherman a wish, but he will still kill him.</t>
  </si>
  <si>
    <t>The jinni went from wanting to kill the fisherman to granting him a wish.</t>
  </si>
  <si>
    <t>The jinni told his story.</t>
  </si>
  <si>
    <t>Can the human triumph over a jinni? Isn't the jinni superior because they have magic and, according the reader's impression, communicate with God?</t>
  </si>
  <si>
    <t>The fisherman is tricking the jinni.</t>
  </si>
  <si>
    <t>The story was about the jinni, but suddenly the story is talking about Shahrazad.</t>
  </si>
  <si>
    <t>The reader realized Shahrazad's tactic to delay her execution.</t>
  </si>
  <si>
    <t>The fisherman turned the tables.</t>
  </si>
  <si>
    <t>It's amusing that the one who has the upper hand is arrogant while the other keeps begging.</t>
  </si>
  <si>
    <t>The fisherman told a story.</t>
  </si>
  <si>
    <t>Same as 39</t>
  </si>
  <si>
    <t>The sage's tactic of taking the king down with him was really good. At first the reader thought the sage would take the same tactic as Shahrazad of delaying his execution, but it turned out to be "If you kill me, I'll take you down with me."</t>
  </si>
  <si>
    <t>It was surprising whe the sage said "If you kill me, my head will speak" and then the king was even more encouraged to kill him.</t>
  </si>
  <si>
    <t>The jinni became humble and hurled his urn into the sea so that he couldn't be returned into it. However, he still followed through with his promise.</t>
  </si>
  <si>
    <t>The jinni was so generous. The fish became emeralds and rubies and pearls.</t>
  </si>
  <si>
    <t>Shahrazad has another story to tell. At first, the reader thought the fisherman and the jinni would tell the stories endlessly, but it turns out it's Shahrazad.</t>
  </si>
  <si>
    <t>Environment: would’ve been better if reader is in her own space/room, and that she might not be able to read since there’s someone else in the room, but since room is quiet, it’s ok
Headset: starts getting uncomfortable halfway
Software: easy to understand</t>
  </si>
  <si>
    <t>~Own space
~Book, dislikes electronic reading
~Prefers reading straight</t>
  </si>
  <si>
    <t>~Story
~Personal realizations</t>
  </si>
  <si>
    <t>~Because of the preface, the reader expected the story to be about Shahrazad and the king at first. And then in the middle, the reader thought that Shahrazad and the king was really just background story, so she was confused when Shahrazad suddenly appeared in the middle of the story.
~The story was nice. Story in a story in a story was nice.</t>
  </si>
  <si>
    <t>Sometimes, the annotations carry over (ex. Questions that ask if the reader know what’s going to happen) because reader can correlate the previous segment.</t>
  </si>
  <si>
    <t>The Veldt: Because there were no plot twists, the reader thought the story wasn’t as striking as The Veldt.</t>
  </si>
  <si>
    <t>prefers being alone, but it's okay since the room is quiet</t>
  </si>
  <si>
    <t>uncomfortable</t>
  </si>
  <si>
    <t>Prefers reading straight</t>
  </si>
  <si>
    <t>Prefers own space</t>
  </si>
  <si>
    <t>Personal realizations</t>
  </si>
  <si>
    <t>Story in a story in a story was nice</t>
  </si>
  <si>
    <t>No plot twist, not as striking</t>
  </si>
  <si>
    <t>There was confusion when Shahrazad appeared in the middle</t>
  </si>
  <si>
    <t>Sometimes, the annotations carry over because reader can correlate the previous segment</t>
  </si>
  <si>
    <t>He was asking for fishes, but he fished up a donkey instead.</t>
  </si>
  <si>
    <t>The reader had a feeling that the jar contained the jinni.</t>
  </si>
  <si>
    <t>It was the first time a jinni was described like that for the reader.</t>
  </si>
  <si>
    <t>The reader was surprised that jinnis that kill people exist.</t>
  </si>
  <si>
    <t>The reader realized that when you keep wishing for something and you're on the brink of insanity, you'd promise something crazy just for that wish, and out of chance and luck you'll feel obliged to something that isn't even good.
Strikingly bad.</t>
  </si>
  <si>
    <t>In spite of challenges, you shouldn't be someone gullible, you should be wise.</t>
  </si>
  <si>
    <t>&lt;Segment had extreme emotions: happy, expected, some fear, love it&gt; The reader expected the fisherman tricking the jinni because of previous stories she knows that someone would trick another person to survive. She expected that he would be saved from misery in the next segment.</t>
  </si>
  <si>
    <t>The king, because of his own greed, the counsel of other greedy people and his own foolishness, decided and declared the sage's death. It was striking because the story of the fisherman really related to their situation. The reader also wondered if she would do the same thing as the fisherman and the sage if she was in that situation.</t>
  </si>
  <si>
    <t>The reader was reminded of her own life values: Don't hold grudges, and forgive people.</t>
  </si>
  <si>
    <t>The reader thought the cycle of who had the upper hand would repeat.</t>
  </si>
  <si>
    <t>~“Oh, that’s a complete story already?”
~“As a story, it’s a good story, but there isn’t much background to most of the characters except the sick man and his watcher. As a short story, this is probably already good enough. It’s well written (except for the run-on at the start.)”
~To note: The reader has a bias already, expecting the story to be bad because of Tintin’s warning at the start.
~Regarding the writing out of the man’s accent (as asked): The reader is used to it from reading Harry Potter stories.
~“Moral of the story: Don’t be like the stupid sailor that just accepts a dumb bet.”</t>
  </si>
  <si>
    <t>Because the way the reader reads is normally continuous, she couldn’t really say or feel much about the story at the start except “I want to know what’s going on” and wasn’t sure how to mark that in the annotation so the start is mostly zero.</t>
  </si>
  <si>
    <t>The reader felt disgust with the man. "What a psycho. What a sick guy."</t>
  </si>
  <si>
    <t>The sailor boy was dumb for betting his finger for a car.
The sailor would need that finger eventually.
If the sailor's finger gets chopped off, he will go to the hospital (as the narrator said).
If the sailor gets brought to the hospital, who will pay the hospital bills? His employer? I doubt dumb gambling is covered by whatever contract he signed.</t>
  </si>
  <si>
    <t>Because of the cut of the segment, the reader thought the man was going to stab the woman with the knife, since both the knife and the man were on a bed, and it wasn't sure if it was two separate beds.</t>
  </si>
  <si>
    <t>No effect</t>
  </si>
  <si>
    <t>Eventually becomes painful/uncomfortable</t>
  </si>
  <si>
    <t>“Oh, that’s a complete story already?”</t>
  </si>
  <si>
    <t>It's a good story</t>
  </si>
  <si>
    <t>Needs more background for the characters</t>
  </si>
  <si>
    <t>Comments</t>
  </si>
  <si>
    <t>Bias against story due to forewarning</t>
  </si>
  <si>
    <t>“Moral of the story: Don’t be like the stupid sailor that just accepts a dumb bet.”</t>
  </si>
  <si>
    <t>Wasn't sure how to mark "want to know what's going on" in the evaluation</t>
  </si>
  <si>
    <t>1. Do you think that the following has affected your emotional response in any way?</t>
  </si>
  <si>
    <t xml:space="preserve">2. How do you usually read? </t>
  </si>
  <si>
    <t>3. What aspects of the story affected your emotional response?</t>
  </si>
  <si>
    <t>Environment: No. Reader is usually immersed when reading because she’s so focused on the setting.
Headset: The longer it’s on your head, the more comfortable it is.
Software: Straightforward. Easy to figure out what to do. The emojis are okay since sometimes it’s easier to imagine emojis than words to compare feelings to.</t>
  </si>
  <si>
    <t>~E-book / physical book
~Read anywhere</t>
  </si>
  <si>
    <t>~Progression of plot
~The way the passages were written
~At the start, it drags, but once you get used to it describing everything, it’s good.</t>
  </si>
  <si>
    <t>~The reader found the story nice: twisted but intriguing, creepy but cool. She felt that she understood it, and she liked the progression of suspense. She thought the suspense was enhanced by the segment-by-segment method of reading.
~The writing style also enhanced the story.</t>
  </si>
  <si>
    <t>Becomes comfortable the longer you wear it</t>
  </si>
  <si>
    <t>The way the passages were written</t>
  </si>
  <si>
    <t>Twisted but intriguing; creepy but cool.</t>
  </si>
  <si>
    <t>There was a progression of suspense.</t>
  </si>
  <si>
    <t>Writing style enhanced the story.</t>
  </si>
  <si>
    <t>Suspense was enhanced by the cut of the segments.</t>
  </si>
  <si>
    <t>The reader was expecting the little man to ask for something else (like the girl), not for the pinky.</t>
  </si>
  <si>
    <t>The reader didn't expect that they would push through with it, and that the little man already had a plan, a process in mind.</t>
  </si>
  <si>
    <t>The reader wasn't expecting a new character. She was expecting that at 9 or 10, the sailor's light would fail and his finger would be cut off.</t>
  </si>
  <si>
    <t>What happened was so different from the reader's expectation.
There was also an explanation of the backstory as well as why little man's process is so practiced.</t>
  </si>
  <si>
    <t>It's just one line, but for the woman to have made the bet repeatedly with the little man… like whoa.</t>
  </si>
  <si>
    <t>The reader was confused about the mention of the pinky.</t>
  </si>
  <si>
    <t>The little man was taunting the sailor boy.</t>
  </si>
  <si>
    <t>The little man confirmed the bet clarification.</t>
  </si>
  <si>
    <t>The reader didn't expect the little man would already have a plan, a process in mind.</t>
  </si>
  <si>
    <t>The reader didn't expect that they would push through with it.</t>
  </si>
  <si>
    <r>
      <rPr>
        <b/>
        <sz val="11"/>
        <color rgb="FFFF0000"/>
        <rFont val="Calibri"/>
        <family val="2"/>
        <scheme val="minor"/>
      </rPr>
      <t>Note:</t>
    </r>
    <r>
      <rPr>
        <sz val="11"/>
        <color rgb="FFFF0000"/>
        <rFont val="Calibri"/>
        <family val="2"/>
        <scheme val="minor"/>
      </rPr>
      <t xml:space="preserve"> The comments have been chopped up. If for segment 1, reader says "because A and because B", there will be an instance of "because A" and a different instance for "because B".</t>
    </r>
  </si>
  <si>
    <t>when the guy said the agreement is ridiculous</t>
  </si>
  <si>
    <t>the part when the man mentioned what would happen when he loses the bet</t>
  </si>
  <si>
    <t>The reader found it funny that the girl was also made to be part of the audience when there seems to be something gruesome that would happen.</t>
  </si>
  <si>
    <t>The sailor would need that finger eventually.</t>
  </si>
  <si>
    <t>If the sailor's finger gets chopped off, he will go to the hospital (as the narrator said).</t>
  </si>
  <si>
    <t>The sailor boy was dumb for betting his finger for a car.</t>
  </si>
  <si>
    <t>If the sailor gets brought to the hospital, who will pay the hospital bills? His employer? I doubt dumb gambling is covered by whatever contract he signed.</t>
  </si>
  <si>
    <t>The reader wasn't expecting a new character.</t>
  </si>
  <si>
    <t>The reader was expecting that at attempt 9 or 10, the sailor's light would fail and his finger would be cut off.</t>
  </si>
  <si>
    <t>The reader first thought that the woman was the little man's spouse.</t>
  </si>
  <si>
    <t>The reader was also confused about the 'misty' portion. How fast could he have been shaken that that would happen?</t>
  </si>
  <si>
    <t>The reader found it fun that they foresaw that the little man is crazy.</t>
  </si>
  <si>
    <t>The reader found it fun that they foresaw that there was going to be a plot twist and that there have already been many victims.</t>
  </si>
  <si>
    <t>When the woman said she won it all in the end.</t>
  </si>
  <si>
    <t>What happened was so different from the reader's expectation.</t>
  </si>
  <si>
    <t xml:space="preserve">
There was an explanation of the backstory as well as why little man's process is so practiced.</t>
  </si>
  <si>
    <t>The woman gave almost all of her fingers away just for the little man, because she doesn’t have anything to bet.</t>
  </si>
  <si>
    <t>The reader was surprised that this is the entrance of the story.</t>
  </si>
  <si>
    <t>The reader didn’t notice that the fisherman had already opened the chest and found it full of sand. They was wondering why the fisherman didn’t open the chest before pushing it back into the sea.</t>
  </si>
  <si>
    <t>reader was interested about the thing with the lid and the jinni. And the thing about the death</t>
  </si>
  <si>
    <t>reader thought genie would just say 'you have three wishes' and reader doesn’t know who sulayman is</t>
  </si>
  <si>
    <t>the jinni suddenly said sulayman</t>
  </si>
  <si>
    <t>reader didn’t understand why 'be very glad'</t>
  </si>
  <si>
    <t>reader still thinks it's 3 wishes only</t>
  </si>
  <si>
    <t>genie usually asks 3 wishes, but suddenly talks about killing here</t>
  </si>
  <si>
    <t>"hurry up make a wish", jinni is still pushing to just kill his savior</t>
  </si>
  <si>
    <t>the genie explained the backstory first before killing the fisherman</t>
  </si>
  <si>
    <t>jinni still wants to kill</t>
  </si>
  <si>
    <t>the reason of the jinni was developed here
the begging</t>
  </si>
  <si>
    <t>the reader felt for the jinni, since the jinni waited a long time without anyone releasing him from the jar, and now that he's released, he can fulfill the promise he made for himself</t>
  </si>
  <si>
    <t>even though someone saved the jinni, he would still kill the person because of what he promised to himself before</t>
  </si>
  <si>
    <t>the conditions when he's released keeps changing</t>
  </si>
  <si>
    <t>there's banter since the fisherman doesn’t want to believe in the jinni and he has to see for himself first before believing</t>
  </si>
  <si>
    <t>fisherman thought of a trick</t>
  </si>
  <si>
    <t>reader was already expecting the character to stall his death</t>
  </si>
  <si>
    <t>reader thought the jinni would fall for the fisherman's trap</t>
  </si>
  <si>
    <t>the king and wife were introduced. Reader thought it was very fun that they're using stories to delay death</t>
  </si>
  <si>
    <t>stalling heir death is also being donw in the other story</t>
  </si>
  <si>
    <t xml:space="preserve">reader thought it was weird that the sister is downstairs when they're making love, and the girl will be killed. And the sister is even excited for them to finish so she could hear the rest of the story. Reader wonders if this is a culture thing </t>
  </si>
  <si>
    <t>fisherman's trick</t>
  </si>
  <si>
    <t>plotting against the jinni</t>
  </si>
  <si>
    <t>reader already anticipated that the jinni will either push through with killing or not. This may be useful later</t>
  </si>
  <si>
    <t>story feels like inception, they're all just delaying their deaths</t>
  </si>
  <si>
    <t>new story again</t>
  </si>
  <si>
    <t>reader was irritated that the king believed in the other guy.. Magic is usually feared or revered in stories, and reader doesn’t like it</t>
  </si>
  <si>
    <t>the line was already mentioned before and is now used again</t>
  </si>
  <si>
    <t>reader laughed because the jinni was also impatient and wanted to know the story</t>
  </si>
  <si>
    <t>reader was irritated with the king because he wants to hear the head talk but he's afraid of magic</t>
  </si>
  <si>
    <t>same events as with the fisherman and jinni, only this time it's with the king and the sage</t>
  </si>
  <si>
    <t>the king is being an idiot to think that there's something mirabulous that will happen</t>
  </si>
  <si>
    <t>the head talked. The reader thought the head could only talk because of the magic word, but there was no magic word yet, so how was the head able to talk</t>
  </si>
  <si>
    <t>reader didn’t expect that it was poison</t>
  </si>
  <si>
    <t>reader felt the king deserved to be poisoned</t>
  </si>
  <si>
    <t>pleading on the part of the fisherman  his character suddenly changed and he's making another promise. Seems like promises 
play a huge part in this story</t>
  </si>
  <si>
    <t>reader was intrigued why they're going 
to the mountain when they wanted to fish. Didn’t expect that the fish would turn into gems</t>
  </si>
  <si>
    <t>the fisherman fell for the riches that the jinni mentioned. Reader wonders why since fisherman is supposed to know that the jinni tricked him before</t>
  </si>
  <si>
    <t>reader thought it was a special gold fish</t>
  </si>
  <si>
    <t>reader thought fisherman would meet a bad end, but then he got the riches that he wanted</t>
  </si>
  <si>
    <t>the farewell was so good</t>
  </si>
  <si>
    <t>reader already expected that the storytelling would just continue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</si>
</sst>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4" x14ac:knownFonts="1">
    <font>
      <sz val="11"/>
      <color theme="1"/>
      <name val="Calibri"/>
      <family val="2"/>
      <scheme val="minor"/>
    </font>
    <font>
      <sz val="11"/>
      <color theme="1"/>
      <name val="Calibri Light"/>
      <family val="2"/>
      <scheme val="major"/>
    </font>
    <font>
      <b/>
      <sz val="11"/>
      <color theme="1"/>
      <name val="Calibri Light"/>
      <family val="2"/>
      <scheme val="major"/>
    </font>
    <font>
      <sz val="11"/>
      <color rgb="FFFF0000"/>
      <name val="Calibri Light"/>
      <family val="2"/>
      <scheme val="major"/>
    </font>
    <font>
      <sz val="7"/>
      <color rgb="FFFF0000"/>
      <name val="Calibri Light"/>
      <family val="2"/>
      <scheme val="major"/>
    </font>
    <font>
      <sz val="11"/>
      <color rgb="FF000000"/>
      <name val="Calibri Light"/>
      <family val="2"/>
      <scheme val="major"/>
    </font>
    <font>
      <b/>
      <sz val="11"/>
      <color rgb="FFFF0000"/>
      <name val="Calibri Light"/>
      <family val="2"/>
      <scheme val="major"/>
    </font>
    <font>
      <b/>
      <sz val="11"/>
      <color theme="1"/>
      <name val="Calibri"/>
      <family val="2"/>
      <scheme val="minor"/>
    </font>
    <font>
      <sz val="11"/>
      <color rgb="FFFF0000"/>
      <name val="Calibri"/>
      <family val="2"/>
      <scheme val="minor"/>
    </font>
    <font>
      <b/>
      <sz val="11"/>
      <color rgb="FFFF0000"/>
      <name val="Calibri"/>
      <family val="2"/>
      <scheme val="minor"/>
    </font>
    <font>
      <i/>
      <sz val="11"/>
      <color theme="1"/>
      <name val="Calibri"/>
      <family val="2"/>
      <scheme val="minor"/>
    </font>
    <font>
      <sz val="11"/>
      <color rgb="FF000000"/>
      <name val="Calibri"/>
      <family val="2"/>
      <scheme val="minor"/>
    </font>
    <font>
      <b/>
      <sz val="11"/>
      <color rgb="FF000000"/>
      <name val="Calibri Light"/>
      <family val="2"/>
      <scheme val="major"/>
    </font>
    <font>
      <sz val="7"/>
      <color rgb="FF000000"/>
      <name val="Calibri"/>
      <family val="2"/>
      <scheme val="minor"/>
    </font>
  </fonts>
  <fills count="8">
    <fill>
      <patternFill patternType="none"/>
    </fill>
    <fill>
      <patternFill patternType="gray125"/>
    </fill>
    <fill>
      <patternFill patternType="solid">
        <fgColor theme="7" tint="0.39997558519241921"/>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bgColor indexed="64"/>
      </patternFill>
    </fill>
    <fill>
      <patternFill patternType="solid">
        <fgColor theme="5"/>
        <bgColor indexed="64"/>
      </patternFill>
    </fill>
  </fills>
  <borders count="15">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style="thin">
        <color auto="1"/>
      </left>
      <right/>
      <top/>
      <bottom/>
      <diagonal/>
    </border>
    <border>
      <left style="thin">
        <color auto="1"/>
      </left>
      <right/>
      <top/>
      <bottom style="thin">
        <color auto="1"/>
      </bottom>
      <diagonal/>
    </border>
    <border>
      <left style="thin">
        <color auto="1"/>
      </left>
      <right/>
      <top style="thin">
        <color auto="1"/>
      </top>
      <bottom/>
      <diagonal/>
    </border>
    <border>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s>
  <cellStyleXfs count="1">
    <xf numFmtId="0" fontId="0" fillId="0" borderId="0"/>
  </cellStyleXfs>
  <cellXfs count="145">
    <xf numFmtId="0" fontId="0" fillId="0" borderId="0" xfId="0"/>
    <xf numFmtId="0" fontId="1" fillId="0" borderId="0" xfId="0" applyFont="1"/>
    <xf numFmtId="0" fontId="1" fillId="0" borderId="0" xfId="0" applyFont="1" applyAlignment="1">
      <alignment wrapText="1"/>
    </xf>
    <xf numFmtId="0" fontId="2" fillId="0" borderId="0" xfId="0" applyFont="1"/>
    <xf numFmtId="0" fontId="3" fillId="0" borderId="0" xfId="0" applyFont="1"/>
    <xf numFmtId="0" fontId="3" fillId="0" borderId="0" xfId="0" applyFont="1" applyAlignment="1">
      <alignment wrapText="1"/>
    </xf>
    <xf numFmtId="0" fontId="2" fillId="3" borderId="0" xfId="0" applyFont="1" applyFill="1"/>
    <xf numFmtId="0" fontId="2" fillId="3" borderId="1" xfId="0" applyFont="1" applyFill="1" applyBorder="1"/>
    <xf numFmtId="0" fontId="1" fillId="0" borderId="1" xfId="0" applyFont="1" applyBorder="1"/>
    <xf numFmtId="0" fontId="3" fillId="0" borderId="1" xfId="0" applyFont="1" applyBorder="1"/>
    <xf numFmtId="0" fontId="3" fillId="0" borderId="1" xfId="0" applyFont="1" applyFill="1" applyBorder="1"/>
    <xf numFmtId="0" fontId="1" fillId="0" borderId="1" xfId="0" applyFont="1" applyFill="1" applyBorder="1"/>
    <xf numFmtId="0" fontId="1" fillId="0" borderId="1" xfId="0" applyFont="1" applyFill="1" applyBorder="1" applyAlignment="1">
      <alignment wrapText="1"/>
    </xf>
    <xf numFmtId="0" fontId="1" fillId="0" borderId="1" xfId="0" applyFont="1" applyBorder="1" applyAlignment="1"/>
    <xf numFmtId="0" fontId="2" fillId="0" borderId="0" xfId="0" applyFont="1" applyFill="1" applyBorder="1"/>
    <xf numFmtId="0" fontId="1" fillId="0" borderId="0" xfId="0" applyFont="1" applyFill="1" applyBorder="1"/>
    <xf numFmtId="0" fontId="1" fillId="0" borderId="2" xfId="0" applyFont="1" applyBorder="1"/>
    <xf numFmtId="0" fontId="1" fillId="0" borderId="2" xfId="0" applyFont="1" applyFill="1" applyBorder="1"/>
    <xf numFmtId="0" fontId="2" fillId="3" borderId="3" xfId="0" applyFont="1" applyFill="1" applyBorder="1"/>
    <xf numFmtId="0" fontId="1" fillId="5" borderId="1" xfId="0" applyFont="1" applyFill="1" applyBorder="1" applyAlignment="1">
      <alignment wrapText="1"/>
    </xf>
    <xf numFmtId="0" fontId="1" fillId="5" borderId="1" xfId="0" applyFont="1" applyFill="1" applyBorder="1" applyAlignment="1"/>
    <xf numFmtId="0" fontId="1" fillId="5" borderId="1" xfId="0" applyFont="1" applyFill="1" applyBorder="1"/>
    <xf numFmtId="0" fontId="5" fillId="5" borderId="1" xfId="0" applyFont="1" applyFill="1" applyBorder="1" applyAlignment="1">
      <alignment wrapText="1"/>
    </xf>
    <xf numFmtId="0" fontId="1" fillId="0" borderId="0" xfId="0" applyFont="1" applyFill="1"/>
    <xf numFmtId="0" fontId="1" fillId="0" borderId="0" xfId="0" applyFont="1" applyAlignment="1"/>
    <xf numFmtId="0" fontId="1" fillId="3" borderId="0" xfId="0" applyFont="1" applyFill="1" applyAlignment="1"/>
    <xf numFmtId="0" fontId="2" fillId="3" borderId="0" xfId="0" applyFont="1" applyFill="1" applyAlignment="1"/>
    <xf numFmtId="0" fontId="2" fillId="0" borderId="0" xfId="0" applyFont="1" applyAlignment="1"/>
    <xf numFmtId="0" fontId="1" fillId="0" borderId="5" xfId="0" applyFont="1" applyBorder="1"/>
    <xf numFmtId="0" fontId="1" fillId="0" borderId="4" xfId="0" applyFont="1" applyBorder="1"/>
    <xf numFmtId="0" fontId="1" fillId="0" borderId="6" xfId="0" applyFont="1" applyBorder="1"/>
    <xf numFmtId="0" fontId="1" fillId="0" borderId="7" xfId="0" applyFont="1" applyBorder="1"/>
    <xf numFmtId="0" fontId="1" fillId="0" borderId="0" xfId="0" applyFont="1" applyBorder="1"/>
    <xf numFmtId="0" fontId="1" fillId="0" borderId="9" xfId="0" applyFont="1" applyBorder="1"/>
    <xf numFmtId="0" fontId="2" fillId="0" borderId="0" xfId="0" applyFont="1" applyFill="1" applyAlignment="1">
      <alignment horizontal="center"/>
    </xf>
    <xf numFmtId="0" fontId="1" fillId="0" borderId="0" xfId="0" applyFont="1" applyBorder="1" applyAlignment="1"/>
    <xf numFmtId="0" fontId="2" fillId="0" borderId="0" xfId="0" applyFont="1" applyBorder="1" applyAlignment="1">
      <alignment horizontal="center"/>
    </xf>
    <xf numFmtId="0" fontId="1" fillId="0" borderId="6" xfId="0" applyFont="1" applyBorder="1" applyAlignment="1">
      <alignment wrapText="1"/>
    </xf>
    <xf numFmtId="0" fontId="2" fillId="0" borderId="8" xfId="0" applyFont="1" applyBorder="1" applyAlignment="1">
      <alignment horizontal="center"/>
    </xf>
    <xf numFmtId="0" fontId="2" fillId="0" borderId="2" xfId="0" applyFont="1" applyBorder="1"/>
    <xf numFmtId="0" fontId="2" fillId="0" borderId="3" xfId="0" applyFont="1" applyBorder="1" applyAlignment="1">
      <alignment horizontal="center"/>
    </xf>
    <xf numFmtId="0" fontId="6" fillId="0" borderId="0" xfId="0" applyFont="1"/>
    <xf numFmtId="0" fontId="1" fillId="0" borderId="1" xfId="0" applyFont="1" applyFill="1" applyBorder="1" applyAlignment="1"/>
    <xf numFmtId="49" fontId="0" fillId="5" borderId="1" xfId="0" applyNumberFormat="1" applyFill="1" applyBorder="1" applyAlignment="1">
      <alignment horizontal="left" vertical="top" wrapText="1"/>
    </xf>
    <xf numFmtId="49" fontId="0" fillId="5" borderId="1" xfId="0" applyNumberFormat="1" applyFill="1" applyBorder="1" applyAlignment="1">
      <alignment horizontal="center" vertical="top" wrapText="1"/>
    </xf>
    <xf numFmtId="0" fontId="8" fillId="0" borderId="1" xfId="0" applyNumberFormat="1" applyFont="1" applyBorder="1" applyAlignment="1">
      <alignment horizontal="left" vertical="top" wrapText="1"/>
    </xf>
    <xf numFmtId="0" fontId="8" fillId="0" borderId="1" xfId="0" applyNumberFormat="1" applyFont="1" applyFill="1" applyBorder="1" applyAlignment="1">
      <alignment horizontal="left" vertical="top" wrapText="1"/>
    </xf>
    <xf numFmtId="0" fontId="8" fillId="0" borderId="0" xfId="0" applyNumberFormat="1" applyFont="1" applyBorder="1" applyAlignment="1">
      <alignment horizontal="left" vertical="top" wrapText="1"/>
    </xf>
    <xf numFmtId="0" fontId="8" fillId="0" borderId="0" xfId="0" applyNumberFormat="1" applyFont="1" applyAlignment="1">
      <alignment horizontal="left" vertical="top" wrapText="1"/>
    </xf>
    <xf numFmtId="0" fontId="3" fillId="0" borderId="13" xfId="0" applyFont="1" applyFill="1" applyBorder="1"/>
    <xf numFmtId="0" fontId="0" fillId="5" borderId="13" xfId="0" applyFill="1" applyBorder="1" applyAlignment="1">
      <alignment horizontal="left" vertical="top" wrapText="1"/>
    </xf>
    <xf numFmtId="0" fontId="0" fillId="0" borderId="13" xfId="0" applyBorder="1" applyAlignment="1">
      <alignment horizontal="left" vertical="top" wrapText="1"/>
    </xf>
    <xf numFmtId="49" fontId="0" fillId="5" borderId="13" xfId="0" applyNumberFormat="1" applyFill="1" applyBorder="1" applyAlignment="1">
      <alignment horizontal="center" vertical="top" wrapText="1"/>
    </xf>
    <xf numFmtId="49" fontId="0" fillId="0" borderId="13" xfId="0" applyNumberFormat="1" applyBorder="1" applyAlignment="1">
      <alignment horizontal="left" vertical="top" wrapText="1"/>
    </xf>
    <xf numFmtId="49" fontId="0" fillId="5" borderId="13" xfId="0" applyNumberFormat="1" applyFill="1" applyBorder="1" applyAlignment="1">
      <alignment horizontal="left" vertical="top" wrapText="1"/>
    </xf>
    <xf numFmtId="0" fontId="1" fillId="0" borderId="14" xfId="0" applyFont="1" applyFill="1" applyBorder="1" applyAlignment="1">
      <alignment wrapText="1"/>
    </xf>
    <xf numFmtId="0" fontId="0" fillId="0" borderId="1" xfId="0" applyFill="1" applyBorder="1" applyAlignment="1">
      <alignment horizontal="left" vertical="top" wrapText="1"/>
    </xf>
    <xf numFmtId="49" fontId="0" fillId="0" borderId="1" xfId="0" applyNumberFormat="1" applyFill="1" applyBorder="1" applyAlignment="1">
      <alignment horizontal="center" vertical="top" wrapText="1"/>
    </xf>
    <xf numFmtId="49" fontId="0" fillId="0" borderId="1" xfId="0" applyNumberFormat="1" applyFill="1" applyBorder="1" applyAlignment="1">
      <alignment horizontal="left" vertical="top" wrapText="1"/>
    </xf>
    <xf numFmtId="0" fontId="0" fillId="0" borderId="0" xfId="0" applyFont="1"/>
    <xf numFmtId="0" fontId="0" fillId="0" borderId="0" xfId="0" applyFont="1" applyBorder="1" applyAlignment="1">
      <alignment wrapText="1"/>
    </xf>
    <xf numFmtId="0" fontId="0" fillId="0" borderId="0" xfId="0" applyFont="1" applyAlignment="1">
      <alignment wrapText="1"/>
    </xf>
    <xf numFmtId="0" fontId="0" fillId="0" borderId="9" xfId="0" applyFont="1" applyBorder="1" applyAlignment="1">
      <alignment wrapText="1"/>
    </xf>
    <xf numFmtId="0" fontId="0" fillId="0" borderId="6" xfId="0" applyFont="1" applyBorder="1" applyAlignment="1">
      <alignment wrapText="1"/>
    </xf>
    <xf numFmtId="0" fontId="0" fillId="0" borderId="0" xfId="0" applyNumberFormat="1" applyFont="1" applyAlignment="1">
      <alignment horizontal="left" vertical="top" wrapText="1"/>
    </xf>
    <xf numFmtId="0" fontId="0" fillId="0" borderId="0" xfId="0" applyNumberFormat="1" applyFont="1" applyFill="1" applyAlignment="1">
      <alignment horizontal="left" vertical="top" wrapText="1"/>
    </xf>
    <xf numFmtId="0" fontId="6" fillId="0" borderId="1" xfId="0" applyNumberFormat="1" applyFont="1" applyFill="1" applyBorder="1" applyAlignment="1">
      <alignment horizontal="left" vertical="top" wrapText="1"/>
    </xf>
    <xf numFmtId="0" fontId="12" fillId="0" borderId="1" xfId="0" applyNumberFormat="1" applyFont="1" applyFill="1" applyBorder="1" applyAlignment="1">
      <alignment horizontal="left" vertical="top" wrapText="1"/>
    </xf>
    <xf numFmtId="0" fontId="1" fillId="0" borderId="0" xfId="0" applyNumberFormat="1" applyFont="1" applyAlignment="1">
      <alignment horizontal="left" vertical="top" wrapText="1"/>
    </xf>
    <xf numFmtId="0" fontId="2" fillId="0" borderId="0" xfId="0" applyFont="1" applyFill="1" applyAlignment="1">
      <alignment horizontal="left"/>
    </xf>
    <xf numFmtId="0" fontId="0" fillId="0" borderId="3" xfId="0" applyNumberFormat="1" applyFont="1" applyBorder="1" applyAlignment="1">
      <alignment horizontal="left" vertical="top" wrapText="1"/>
    </xf>
    <xf numFmtId="0" fontId="0" fillId="0" borderId="2" xfId="0" applyNumberFormat="1" applyFont="1" applyBorder="1" applyAlignment="1">
      <alignment horizontal="left" vertical="top" wrapText="1"/>
    </xf>
    <xf numFmtId="0" fontId="0" fillId="0" borderId="1" xfId="0" applyNumberFormat="1" applyFont="1" applyBorder="1" applyAlignment="1">
      <alignment horizontal="left" vertical="top" wrapText="1"/>
    </xf>
    <xf numFmtId="0" fontId="11" fillId="0" borderId="1" xfId="0" applyNumberFormat="1" applyFont="1" applyFill="1" applyBorder="1" applyAlignment="1">
      <alignment horizontal="left" vertical="top" wrapText="1"/>
    </xf>
    <xf numFmtId="0" fontId="0" fillId="0" borderId="1" xfId="0" applyNumberFormat="1" applyFont="1" applyFill="1" applyBorder="1" applyAlignment="1">
      <alignment horizontal="left" vertical="top" wrapText="1"/>
    </xf>
    <xf numFmtId="0" fontId="3" fillId="0" borderId="0" xfId="0" applyFont="1" applyAlignment="1">
      <alignment horizontal="justify" vertical="center" wrapText="1"/>
    </xf>
    <xf numFmtId="0" fontId="11" fillId="0" borderId="0" xfId="0" applyFont="1" applyAlignment="1">
      <alignment horizontal="justify" vertical="center" wrapText="1"/>
    </xf>
    <xf numFmtId="0" fontId="1" fillId="0" borderId="4" xfId="0" applyFont="1" applyBorder="1" applyAlignment="1">
      <alignment wrapText="1"/>
    </xf>
    <xf numFmtId="0" fontId="1" fillId="0" borderId="5" xfId="0" applyFont="1" applyBorder="1" applyAlignment="1">
      <alignment wrapText="1"/>
    </xf>
    <xf numFmtId="0" fontId="1" fillId="0" borderId="7" xfId="0" applyFont="1" applyBorder="1" applyAlignment="1">
      <alignment wrapText="1"/>
    </xf>
    <xf numFmtId="0" fontId="7" fillId="0" borderId="0" xfId="0" applyFont="1" applyAlignment="1">
      <alignment wrapText="1"/>
    </xf>
    <xf numFmtId="0" fontId="7" fillId="0" borderId="0" xfId="0" applyFont="1" applyAlignment="1">
      <alignment horizontal="center" wrapText="1"/>
    </xf>
    <xf numFmtId="0" fontId="0" fillId="0" borderId="5" xfId="0" applyFont="1" applyBorder="1" applyAlignment="1">
      <alignment wrapText="1"/>
    </xf>
    <xf numFmtId="0" fontId="0" fillId="0" borderId="7" xfId="0" applyFont="1" applyBorder="1" applyAlignment="1">
      <alignment wrapText="1"/>
    </xf>
    <xf numFmtId="0" fontId="0" fillId="0" borderId="10" xfId="0" applyFont="1" applyBorder="1" applyAlignment="1">
      <alignment wrapText="1"/>
    </xf>
    <xf numFmtId="0" fontId="2" fillId="0" borderId="0" xfId="0" applyFont="1" applyAlignment="1">
      <alignment wrapText="1"/>
    </xf>
    <xf numFmtId="0" fontId="2" fillId="0" borderId="8" xfId="0" applyFont="1" applyBorder="1" applyAlignment="1">
      <alignment horizontal="center" wrapText="1"/>
    </xf>
    <xf numFmtId="0" fontId="2" fillId="0" borderId="2" xfId="0" applyFont="1" applyBorder="1" applyAlignment="1">
      <alignment wrapText="1"/>
    </xf>
    <xf numFmtId="0" fontId="1" fillId="0" borderId="9" xfId="0" applyFont="1" applyBorder="1" applyAlignment="1">
      <alignment wrapText="1"/>
    </xf>
    <xf numFmtId="0" fontId="2" fillId="0" borderId="3" xfId="0" applyFont="1" applyBorder="1" applyAlignment="1">
      <alignment horizontal="center" wrapText="1"/>
    </xf>
    <xf numFmtId="0" fontId="1" fillId="0" borderId="0" xfId="0" applyFont="1" applyBorder="1" applyAlignment="1">
      <alignment wrapText="1"/>
    </xf>
    <xf numFmtId="0" fontId="2" fillId="0" borderId="0" xfId="0" applyFont="1" applyFill="1" applyAlignment="1">
      <alignment horizontal="center" wrapText="1"/>
    </xf>
    <xf numFmtId="0" fontId="1" fillId="0" borderId="1" xfId="0" applyFont="1" applyBorder="1" applyAlignment="1">
      <alignment wrapText="1"/>
    </xf>
    <xf numFmtId="0" fontId="2" fillId="0" borderId="0" xfId="0" applyFont="1" applyBorder="1" applyAlignment="1">
      <alignment horizontal="center" wrapText="1"/>
    </xf>
    <xf numFmtId="0" fontId="2" fillId="0" borderId="0" xfId="0" applyFont="1" applyBorder="1" applyAlignment="1">
      <alignment horizontal="center" wrapText="1"/>
    </xf>
    <xf numFmtId="0" fontId="7" fillId="0" borderId="0" xfId="0" applyFont="1" applyAlignment="1">
      <alignment horizontal="center" wrapText="1"/>
    </xf>
    <xf numFmtId="0" fontId="2" fillId="3" borderId="0" xfId="0" applyFont="1" applyFill="1" applyAlignment="1">
      <alignment horizontal="center" wrapText="1"/>
    </xf>
    <xf numFmtId="0" fontId="2" fillId="4" borderId="0" xfId="0" applyFont="1" applyFill="1" applyAlignment="1">
      <alignment horizontal="center" wrapText="1"/>
    </xf>
    <xf numFmtId="0" fontId="0" fillId="7" borderId="0" xfId="0" applyFont="1" applyFill="1" applyAlignment="1">
      <alignment horizontal="center"/>
    </xf>
    <xf numFmtId="0" fontId="2" fillId="2" borderId="0" xfId="0" applyFont="1" applyFill="1" applyAlignment="1">
      <alignment horizontal="center" wrapText="1"/>
    </xf>
    <xf numFmtId="0" fontId="7" fillId="7" borderId="1" xfId="0" applyNumberFormat="1" applyFont="1" applyFill="1" applyBorder="1" applyAlignment="1">
      <alignment horizontal="left" vertical="top" wrapText="1"/>
    </xf>
    <xf numFmtId="0" fontId="0" fillId="0" borderId="3" xfId="0" applyNumberFormat="1" applyFont="1" applyBorder="1" applyAlignment="1">
      <alignment horizontal="left" vertical="top" wrapText="1"/>
    </xf>
    <xf numFmtId="0" fontId="0" fillId="0" borderId="2" xfId="0" applyNumberFormat="1" applyFont="1" applyBorder="1" applyAlignment="1">
      <alignment horizontal="left" vertical="top" wrapText="1"/>
    </xf>
    <xf numFmtId="0" fontId="0" fillId="0" borderId="8" xfId="0" applyNumberFormat="1" applyFont="1" applyBorder="1" applyAlignment="1">
      <alignment horizontal="left" vertical="top" wrapText="1"/>
    </xf>
    <xf numFmtId="0" fontId="0" fillId="0" borderId="3" xfId="0" applyNumberFormat="1" applyFont="1" applyFill="1" applyBorder="1" applyAlignment="1">
      <alignment horizontal="left" vertical="top" wrapText="1"/>
    </xf>
    <xf numFmtId="0" fontId="0" fillId="0" borderId="2" xfId="0" applyNumberFormat="1" applyFont="1" applyFill="1" applyBorder="1" applyAlignment="1">
      <alignment horizontal="left" vertical="top" wrapText="1"/>
    </xf>
    <xf numFmtId="0" fontId="0" fillId="0" borderId="8" xfId="0" applyNumberFormat="1" applyFont="1" applyFill="1" applyBorder="1" applyAlignment="1">
      <alignment horizontal="left" vertical="top" wrapText="1"/>
    </xf>
    <xf numFmtId="0" fontId="11" fillId="0" borderId="1" xfId="0" applyNumberFormat="1" applyFont="1" applyFill="1" applyBorder="1" applyAlignment="1">
      <alignment horizontal="left" vertical="top" wrapText="1"/>
    </xf>
    <xf numFmtId="0" fontId="11" fillId="0" borderId="3" xfId="0" applyNumberFormat="1" applyFont="1" applyFill="1" applyBorder="1" applyAlignment="1">
      <alignment horizontal="left" vertical="top" wrapText="1"/>
    </xf>
    <xf numFmtId="0" fontId="11" fillId="0" borderId="8" xfId="0" applyNumberFormat="1" applyFont="1" applyFill="1" applyBorder="1" applyAlignment="1">
      <alignment horizontal="left" vertical="top" wrapText="1"/>
    </xf>
    <xf numFmtId="0" fontId="11" fillId="0" borderId="2" xfId="0" applyNumberFormat="1" applyFont="1" applyFill="1" applyBorder="1" applyAlignment="1">
      <alignment horizontal="left" vertical="top" wrapText="1"/>
    </xf>
    <xf numFmtId="0" fontId="7" fillId="7" borderId="11" xfId="0" applyNumberFormat="1" applyFont="1" applyFill="1" applyBorder="1" applyAlignment="1">
      <alignment horizontal="left" vertical="top" wrapText="1"/>
    </xf>
    <xf numFmtId="0" fontId="7" fillId="7" borderId="12" xfId="0" applyNumberFormat="1" applyFont="1" applyFill="1" applyBorder="1" applyAlignment="1">
      <alignment horizontal="left" vertical="top" wrapText="1"/>
    </xf>
    <xf numFmtId="0" fontId="7" fillId="7" borderId="4" xfId="0" applyNumberFormat="1" applyFont="1" applyFill="1" applyBorder="1" applyAlignment="1">
      <alignment horizontal="left" vertical="top" wrapText="1"/>
    </xf>
    <xf numFmtId="0" fontId="7" fillId="7" borderId="10" xfId="0" applyNumberFormat="1" applyFont="1" applyFill="1" applyBorder="1" applyAlignment="1">
      <alignment horizontal="left" vertical="top" wrapText="1"/>
    </xf>
    <xf numFmtId="0" fontId="7" fillId="7" borderId="6" xfId="0" applyNumberFormat="1" applyFont="1" applyFill="1" applyBorder="1" applyAlignment="1">
      <alignment horizontal="left" vertical="top" wrapText="1"/>
    </xf>
    <xf numFmtId="0" fontId="7" fillId="7" borderId="7" xfId="0" applyNumberFormat="1" applyFont="1" applyFill="1" applyBorder="1" applyAlignment="1">
      <alignment horizontal="left" vertical="top" wrapText="1"/>
    </xf>
    <xf numFmtId="0" fontId="0" fillId="0" borderId="3" xfId="0" applyNumberFormat="1" applyFont="1" applyBorder="1" applyAlignment="1">
      <alignment horizontal="center" vertical="top" wrapText="1"/>
    </xf>
    <xf numFmtId="0" fontId="0" fillId="0" borderId="8" xfId="0" applyNumberFormat="1" applyFont="1" applyBorder="1" applyAlignment="1">
      <alignment horizontal="center" vertical="top" wrapText="1"/>
    </xf>
    <xf numFmtId="0" fontId="0" fillId="0" borderId="2" xfId="0" applyNumberFormat="1" applyFont="1" applyBorder="1" applyAlignment="1">
      <alignment horizontal="center" vertical="top" wrapText="1"/>
    </xf>
    <xf numFmtId="0" fontId="0" fillId="0" borderId="1" xfId="0" applyNumberFormat="1" applyFont="1" applyBorder="1" applyAlignment="1">
      <alignment horizontal="left" vertical="top" wrapText="1"/>
    </xf>
    <xf numFmtId="0" fontId="0" fillId="0" borderId="1" xfId="0" applyNumberFormat="1" applyFont="1" applyFill="1" applyBorder="1" applyAlignment="1">
      <alignment horizontal="left" vertical="top" wrapText="1"/>
    </xf>
    <xf numFmtId="0" fontId="3" fillId="0" borderId="0" xfId="0" applyFont="1" applyAlignment="1">
      <alignment horizontal="center"/>
    </xf>
    <xf numFmtId="0" fontId="3" fillId="5" borderId="0" xfId="0" applyFont="1" applyFill="1" applyAlignment="1">
      <alignment horizontal="center"/>
    </xf>
    <xf numFmtId="0" fontId="6" fillId="0" borderId="10" xfId="0" applyFont="1" applyFill="1" applyBorder="1" applyAlignment="1">
      <alignment horizontal="center"/>
    </xf>
    <xf numFmtId="0" fontId="6" fillId="0" borderId="7" xfId="0" applyFont="1" applyFill="1" applyBorder="1" applyAlignment="1">
      <alignment horizontal="center"/>
    </xf>
    <xf numFmtId="0" fontId="2" fillId="0" borderId="1" xfId="0" applyFont="1" applyBorder="1" applyAlignment="1">
      <alignment horizontal="center"/>
    </xf>
    <xf numFmtId="0" fontId="6" fillId="0" borderId="6" xfId="0" applyFont="1" applyBorder="1" applyAlignment="1">
      <alignment horizontal="left"/>
    </xf>
    <xf numFmtId="0" fontId="2" fillId="2" borderId="0" xfId="0" applyFont="1" applyFill="1" applyAlignment="1">
      <alignment horizontal="center"/>
    </xf>
    <xf numFmtId="0" fontId="2" fillId="3" borderId="0" xfId="0" applyFont="1" applyFill="1" applyAlignment="1">
      <alignment horizontal="center"/>
    </xf>
    <xf numFmtId="0" fontId="3" fillId="0" borderId="0" xfId="0" applyFont="1" applyAlignment="1">
      <alignment horizontal="left"/>
    </xf>
    <xf numFmtId="0" fontId="1" fillId="0" borderId="0" xfId="0" applyFont="1" applyBorder="1" applyAlignment="1">
      <alignment horizontal="center"/>
    </xf>
    <xf numFmtId="0" fontId="2" fillId="0" borderId="0" xfId="0" applyFont="1" applyBorder="1" applyAlignment="1">
      <alignment horizontal="center"/>
    </xf>
    <xf numFmtId="0" fontId="6" fillId="0" borderId="0" xfId="0" applyFont="1" applyBorder="1" applyAlignment="1">
      <alignment horizontal="left"/>
    </xf>
    <xf numFmtId="0" fontId="0" fillId="0" borderId="0" xfId="0" applyFont="1" applyBorder="1" applyAlignment="1">
      <alignment horizontal="center" wrapText="1"/>
    </xf>
    <xf numFmtId="0" fontId="7" fillId="6" borderId="1" xfId="0" applyFont="1" applyFill="1" applyBorder="1" applyAlignment="1">
      <alignment horizontal="center" wrapText="1"/>
    </xf>
    <xf numFmtId="0" fontId="7" fillId="0" borderId="0" xfId="0" applyFont="1" applyAlignment="1">
      <alignment horizontal="center" wrapText="1"/>
    </xf>
    <xf numFmtId="0" fontId="8" fillId="0" borderId="0" xfId="0" applyFont="1" applyAlignment="1">
      <alignment horizontal="left" wrapText="1"/>
    </xf>
    <xf numFmtId="0" fontId="6" fillId="0" borderId="6" xfId="0" applyFont="1" applyBorder="1" applyAlignment="1">
      <alignment horizontal="left" wrapText="1"/>
    </xf>
    <xf numFmtId="0" fontId="3" fillId="0" borderId="0" xfId="0" applyFont="1" applyAlignment="1">
      <alignment horizontal="left" wrapText="1"/>
    </xf>
    <xf numFmtId="0" fontId="2" fillId="0" borderId="1" xfId="0" applyFont="1" applyBorder="1" applyAlignment="1">
      <alignment horizontal="center" wrapText="1"/>
    </xf>
    <xf numFmtId="0" fontId="6" fillId="0" borderId="0" xfId="0" applyFont="1" applyAlignment="1">
      <alignment horizontal="left" wrapText="1"/>
    </xf>
    <xf numFmtId="0" fontId="1" fillId="0" borderId="0" xfId="0" applyFont="1" applyBorder="1" applyAlignment="1">
      <alignment horizontal="center" wrapText="1"/>
    </xf>
    <xf numFmtId="0" fontId="6" fillId="0" borderId="0" xfId="0" applyFont="1" applyBorder="1" applyAlignment="1">
      <alignment horizontal="left" wrapText="1"/>
    </xf>
    <xf numFmtId="0" fontId="2" fillId="0" borderId="0" xfId="0" applyFont="1" applyBorder="1"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48"/>
  <sheetViews>
    <sheetView zoomScaleNormal="100" workbookViewId="0">
      <pane xSplit="2" ySplit="2" topLeftCell="C46" activePane="bottomRight" state="frozen"/>
      <selection pane="topRight" activeCell="C1" sqref="C1"/>
      <selection pane="bottomLeft" activeCell="A3" sqref="A3"/>
      <selection pane="bottomRight" activeCell="A47" sqref="A47"/>
    </sheetView>
  </sheetViews>
  <sheetFormatPr defaultRowHeight="15" x14ac:dyDescent="0.25"/>
  <cols>
    <col min="1" max="1" width="9.140625" style="59"/>
    <col min="2" max="2" width="15.42578125" style="59" customWidth="1"/>
    <col min="3" max="3" width="40.28515625" style="61" customWidth="1"/>
    <col min="4" max="4" width="25.5703125" style="61" customWidth="1"/>
    <col min="5" max="7" width="40.7109375" style="61" customWidth="1"/>
    <col min="8" max="9" width="31.85546875" style="61" customWidth="1"/>
    <col min="10" max="10" width="36.5703125" style="61" customWidth="1"/>
    <col min="11" max="11" width="37.140625" style="61" customWidth="1"/>
    <col min="12" max="16384" width="9.140625" style="59"/>
  </cols>
  <sheetData>
    <row r="1" spans="1:11" s="3" customFormat="1" x14ac:dyDescent="0.25">
      <c r="C1" s="96" t="s">
        <v>21</v>
      </c>
      <c r="D1" s="96"/>
      <c r="E1" s="96"/>
      <c r="F1" s="96"/>
      <c r="G1" s="96"/>
      <c r="H1" s="99" t="s">
        <v>22</v>
      </c>
      <c r="I1" s="99"/>
      <c r="J1" s="97" t="s">
        <v>23</v>
      </c>
      <c r="K1" s="97"/>
    </row>
    <row r="2" spans="1:11" s="4" customFormat="1" ht="45" x14ac:dyDescent="0.25">
      <c r="C2" s="5" t="s">
        <v>15</v>
      </c>
      <c r="D2" s="5" t="s">
        <v>17</v>
      </c>
      <c r="E2" s="5" t="s">
        <v>16</v>
      </c>
      <c r="F2" s="5" t="s">
        <v>18</v>
      </c>
      <c r="G2" s="5" t="s">
        <v>19</v>
      </c>
      <c r="H2" s="5" t="s">
        <v>20</v>
      </c>
      <c r="I2" s="5" t="s">
        <v>1150</v>
      </c>
      <c r="J2" s="75" t="s">
        <v>25</v>
      </c>
      <c r="K2" s="5" t="s">
        <v>24</v>
      </c>
    </row>
    <row r="3" spans="1:11" ht="90" x14ac:dyDescent="0.25">
      <c r="A3" s="59">
        <v>1</v>
      </c>
      <c r="B3" s="59" t="s">
        <v>0</v>
      </c>
      <c r="C3" s="61" t="s">
        <v>38</v>
      </c>
      <c r="D3" s="61" t="s">
        <v>39</v>
      </c>
      <c r="E3" s="61" t="s">
        <v>40</v>
      </c>
      <c r="F3" s="61" t="s">
        <v>41</v>
      </c>
      <c r="G3" s="61" t="s">
        <v>42</v>
      </c>
      <c r="H3" s="61" t="s">
        <v>243</v>
      </c>
      <c r="I3" s="61" t="s">
        <v>42</v>
      </c>
      <c r="J3" s="61" t="s">
        <v>43</v>
      </c>
      <c r="K3" s="61" t="s">
        <v>44</v>
      </c>
    </row>
    <row r="4" spans="1:11" ht="60" x14ac:dyDescent="0.25">
      <c r="A4" s="59">
        <f>A3+1</f>
        <v>2</v>
      </c>
      <c r="B4" s="59" t="s">
        <v>1</v>
      </c>
      <c r="C4" s="61" t="s">
        <v>73</v>
      </c>
      <c r="D4" s="61" t="s">
        <v>74</v>
      </c>
      <c r="E4" s="61" t="s">
        <v>75</v>
      </c>
      <c r="F4" s="61" t="s">
        <v>76</v>
      </c>
      <c r="G4" s="61" t="s">
        <v>42</v>
      </c>
      <c r="H4" s="61" t="s">
        <v>244</v>
      </c>
      <c r="I4" s="61" t="s">
        <v>42</v>
      </c>
      <c r="J4" s="61" t="s">
        <v>44</v>
      </c>
      <c r="K4" s="61" t="s">
        <v>44</v>
      </c>
    </row>
    <row r="5" spans="1:11" ht="60" x14ac:dyDescent="0.25">
      <c r="A5" s="59">
        <f t="shared" ref="A5:A34" si="0">A4+1</f>
        <v>3</v>
      </c>
      <c r="B5" s="59" t="s">
        <v>2</v>
      </c>
      <c r="C5" s="61" t="s">
        <v>77</v>
      </c>
      <c r="D5" s="61" t="s">
        <v>78</v>
      </c>
      <c r="E5" s="61" t="s">
        <v>79</v>
      </c>
      <c r="F5" s="61" t="s">
        <v>84</v>
      </c>
      <c r="G5" s="61" t="s">
        <v>85</v>
      </c>
      <c r="H5" s="61" t="s">
        <v>245</v>
      </c>
      <c r="I5" s="61" t="s">
        <v>42</v>
      </c>
      <c r="J5" s="61" t="s">
        <v>44</v>
      </c>
      <c r="K5" s="61" t="s">
        <v>44</v>
      </c>
    </row>
    <row r="6" spans="1:11" ht="75" x14ac:dyDescent="0.25">
      <c r="A6" s="59">
        <f t="shared" si="0"/>
        <v>4</v>
      </c>
      <c r="B6" s="59" t="s">
        <v>3</v>
      </c>
      <c r="C6" s="61" t="s">
        <v>80</v>
      </c>
      <c r="D6" s="61" t="s">
        <v>81</v>
      </c>
      <c r="E6" s="61" t="s">
        <v>82</v>
      </c>
      <c r="F6" s="61" t="s">
        <v>83</v>
      </c>
      <c r="G6" s="61" t="s">
        <v>86</v>
      </c>
      <c r="H6" s="61" t="s">
        <v>246</v>
      </c>
      <c r="I6" s="61" t="s">
        <v>42</v>
      </c>
      <c r="J6" s="61" t="s">
        <v>44</v>
      </c>
      <c r="K6" s="61" t="s">
        <v>43</v>
      </c>
    </row>
    <row r="7" spans="1:11" ht="120" x14ac:dyDescent="0.25">
      <c r="A7" s="59">
        <f t="shared" si="0"/>
        <v>5</v>
      </c>
      <c r="B7" s="59" t="s">
        <v>4</v>
      </c>
      <c r="C7" s="61" t="s">
        <v>110</v>
      </c>
      <c r="D7" s="61" t="s">
        <v>218</v>
      </c>
      <c r="E7" s="61" t="s">
        <v>111</v>
      </c>
      <c r="F7" s="61" t="s">
        <v>112</v>
      </c>
      <c r="G7" s="61" t="s">
        <v>113</v>
      </c>
      <c r="H7" s="61" t="s">
        <v>247</v>
      </c>
      <c r="I7" s="61" t="s">
        <v>42</v>
      </c>
      <c r="J7" s="61" t="s">
        <v>43</v>
      </c>
      <c r="K7" s="61" t="s">
        <v>44</v>
      </c>
    </row>
    <row r="8" spans="1:11" ht="75" x14ac:dyDescent="0.25">
      <c r="A8" s="59">
        <f t="shared" si="0"/>
        <v>6</v>
      </c>
      <c r="B8" s="59" t="s">
        <v>5</v>
      </c>
      <c r="C8" s="61" t="s">
        <v>130</v>
      </c>
      <c r="D8" s="61" t="s">
        <v>131</v>
      </c>
      <c r="E8" s="61" t="s">
        <v>132</v>
      </c>
      <c r="F8" s="61" t="s">
        <v>133</v>
      </c>
      <c r="G8" s="61" t="s">
        <v>42</v>
      </c>
      <c r="H8" s="61" t="s">
        <v>248</v>
      </c>
      <c r="I8" s="61" t="s">
        <v>42</v>
      </c>
      <c r="J8" s="61" t="s">
        <v>43</v>
      </c>
      <c r="K8" s="61" t="s">
        <v>44</v>
      </c>
    </row>
    <row r="9" spans="1:11" ht="105" x14ac:dyDescent="0.25">
      <c r="A9" s="59">
        <f t="shared" si="0"/>
        <v>7</v>
      </c>
      <c r="B9" s="59" t="s">
        <v>6</v>
      </c>
      <c r="C9" s="61" t="s">
        <v>149</v>
      </c>
      <c r="D9" s="61" t="s">
        <v>150</v>
      </c>
      <c r="E9" s="61" t="s">
        <v>151</v>
      </c>
      <c r="F9" s="61" t="s">
        <v>152</v>
      </c>
      <c r="G9" s="61" t="s">
        <v>42</v>
      </c>
      <c r="H9" s="61" t="s">
        <v>249</v>
      </c>
      <c r="I9" s="61" t="s">
        <v>42</v>
      </c>
      <c r="J9" s="61" t="s">
        <v>43</v>
      </c>
      <c r="K9" s="61" t="s">
        <v>44</v>
      </c>
    </row>
    <row r="10" spans="1:11" ht="120" x14ac:dyDescent="0.25">
      <c r="A10" s="59">
        <f t="shared" si="0"/>
        <v>8</v>
      </c>
      <c r="B10" s="59" t="s">
        <v>7</v>
      </c>
      <c r="C10" s="61" t="s">
        <v>177</v>
      </c>
      <c r="D10" s="61" t="s">
        <v>178</v>
      </c>
      <c r="E10" s="61" t="s">
        <v>179</v>
      </c>
      <c r="F10" s="61" t="s">
        <v>180</v>
      </c>
      <c r="G10" s="61" t="s">
        <v>255</v>
      </c>
      <c r="H10" s="61" t="s">
        <v>250</v>
      </c>
      <c r="I10" s="61" t="s">
        <v>42</v>
      </c>
      <c r="J10" s="61" t="s">
        <v>44</v>
      </c>
      <c r="K10" s="61" t="s">
        <v>44</v>
      </c>
    </row>
    <row r="11" spans="1:11" ht="105" x14ac:dyDescent="0.25">
      <c r="A11" s="59">
        <f t="shared" si="0"/>
        <v>9</v>
      </c>
      <c r="B11" s="59" t="s">
        <v>8</v>
      </c>
      <c r="C11" s="61" t="s">
        <v>185</v>
      </c>
      <c r="D11" s="61" t="s">
        <v>186</v>
      </c>
      <c r="E11" s="61" t="s">
        <v>179</v>
      </c>
      <c r="F11" s="61" t="s">
        <v>187</v>
      </c>
      <c r="G11" s="61" t="s">
        <v>42</v>
      </c>
      <c r="H11" s="61" t="s">
        <v>251</v>
      </c>
      <c r="I11" s="61" t="s">
        <v>42</v>
      </c>
      <c r="J11" s="61" t="s">
        <v>44</v>
      </c>
      <c r="K11" s="61" t="s">
        <v>44</v>
      </c>
    </row>
    <row r="12" spans="1:11" ht="105" x14ac:dyDescent="0.25">
      <c r="A12" s="59">
        <f t="shared" si="0"/>
        <v>10</v>
      </c>
      <c r="B12" s="59" t="s">
        <v>9</v>
      </c>
      <c r="C12" s="61" t="s">
        <v>188</v>
      </c>
      <c r="D12" s="61" t="s">
        <v>217</v>
      </c>
      <c r="E12" s="61" t="s">
        <v>219</v>
      </c>
      <c r="F12" s="61" t="s">
        <v>220</v>
      </c>
      <c r="G12" s="61" t="s">
        <v>42</v>
      </c>
      <c r="H12" s="61" t="s">
        <v>252</v>
      </c>
      <c r="I12" s="61" t="s">
        <v>42</v>
      </c>
      <c r="J12" s="61" t="s">
        <v>44</v>
      </c>
      <c r="K12" s="61" t="s">
        <v>44</v>
      </c>
    </row>
    <row r="13" spans="1:11" ht="60" x14ac:dyDescent="0.25">
      <c r="A13" s="59">
        <f t="shared" si="0"/>
        <v>11</v>
      </c>
      <c r="B13" s="59" t="s">
        <v>10</v>
      </c>
      <c r="C13" s="61" t="s">
        <v>221</v>
      </c>
      <c r="D13" s="61" t="s">
        <v>222</v>
      </c>
      <c r="E13" s="61" t="s">
        <v>223</v>
      </c>
      <c r="F13" s="61" t="s">
        <v>226</v>
      </c>
      <c r="G13" s="61" t="s">
        <v>42</v>
      </c>
      <c r="H13" s="61" t="s">
        <v>253</v>
      </c>
      <c r="I13" s="61" t="s">
        <v>42</v>
      </c>
      <c r="J13" s="61" t="s">
        <v>44</v>
      </c>
      <c r="K13" s="61" t="s">
        <v>44</v>
      </c>
    </row>
    <row r="14" spans="1:11" ht="75" x14ac:dyDescent="0.25">
      <c r="A14" s="59">
        <f t="shared" si="0"/>
        <v>12</v>
      </c>
      <c r="B14" s="59" t="s">
        <v>11</v>
      </c>
      <c r="C14" s="61" t="s">
        <v>240</v>
      </c>
      <c r="D14" s="61" t="s">
        <v>241</v>
      </c>
      <c r="E14" s="61" t="s">
        <v>179</v>
      </c>
      <c r="F14" s="61" t="s">
        <v>242</v>
      </c>
      <c r="G14" s="61" t="s">
        <v>42</v>
      </c>
      <c r="H14" s="61" t="s">
        <v>254</v>
      </c>
      <c r="I14" s="61" t="s">
        <v>42</v>
      </c>
      <c r="J14" s="61" t="s">
        <v>44</v>
      </c>
      <c r="K14" s="61" t="s">
        <v>44</v>
      </c>
    </row>
    <row r="15" spans="1:11" ht="75" x14ac:dyDescent="0.25">
      <c r="A15" s="59">
        <f t="shared" si="0"/>
        <v>13</v>
      </c>
      <c r="B15" s="59" t="s">
        <v>12</v>
      </c>
      <c r="C15" s="61" t="s">
        <v>256</v>
      </c>
      <c r="D15" s="61" t="s">
        <v>274</v>
      </c>
      <c r="E15" s="61" t="s">
        <v>275</v>
      </c>
      <c r="F15" s="61" t="s">
        <v>276</v>
      </c>
      <c r="G15" s="61" t="s">
        <v>42</v>
      </c>
      <c r="H15" s="61" t="s">
        <v>277</v>
      </c>
      <c r="I15" s="61" t="s">
        <v>42</v>
      </c>
      <c r="J15" s="61" t="s">
        <v>44</v>
      </c>
      <c r="K15" s="61" t="s">
        <v>44</v>
      </c>
    </row>
    <row r="16" spans="1:11" ht="120" x14ac:dyDescent="0.25">
      <c r="A16" s="59">
        <f t="shared" si="0"/>
        <v>14</v>
      </c>
      <c r="B16" s="59" t="s">
        <v>13</v>
      </c>
      <c r="C16" s="61" t="s">
        <v>278</v>
      </c>
      <c r="D16" s="61" t="s">
        <v>307</v>
      </c>
      <c r="E16" s="61" t="s">
        <v>279</v>
      </c>
      <c r="F16" s="61" t="s">
        <v>306</v>
      </c>
      <c r="G16" s="61" t="s">
        <v>305</v>
      </c>
      <c r="H16" s="61" t="s">
        <v>304</v>
      </c>
      <c r="I16" s="61" t="s">
        <v>42</v>
      </c>
      <c r="J16" s="61" t="s">
        <v>44</v>
      </c>
      <c r="K16" s="61" t="s">
        <v>44</v>
      </c>
    </row>
    <row r="17" spans="1:11" ht="120" x14ac:dyDescent="0.25">
      <c r="A17" s="59">
        <f t="shared" si="0"/>
        <v>15</v>
      </c>
      <c r="B17" s="59" t="s">
        <v>14</v>
      </c>
      <c r="C17" s="61" t="s">
        <v>332</v>
      </c>
      <c r="D17" s="61" t="s">
        <v>333</v>
      </c>
      <c r="E17" s="61" t="s">
        <v>334</v>
      </c>
      <c r="F17" s="61" t="s">
        <v>335</v>
      </c>
      <c r="G17" s="61" t="s">
        <v>42</v>
      </c>
      <c r="H17" s="61" t="s">
        <v>308</v>
      </c>
      <c r="I17" s="61" t="s">
        <v>42</v>
      </c>
      <c r="J17" s="61" t="s">
        <v>43</v>
      </c>
      <c r="K17" s="61" t="s">
        <v>44</v>
      </c>
    </row>
    <row r="18" spans="1:11" ht="135" x14ac:dyDescent="0.25">
      <c r="A18" s="59">
        <f t="shared" si="0"/>
        <v>16</v>
      </c>
      <c r="B18" s="59" t="s">
        <v>498</v>
      </c>
      <c r="C18" s="61" t="s">
        <v>871</v>
      </c>
      <c r="D18" s="61" t="s">
        <v>872</v>
      </c>
      <c r="E18" s="61" t="s">
        <v>873</v>
      </c>
      <c r="F18" s="61" t="s">
        <v>874</v>
      </c>
      <c r="G18" s="61" t="s">
        <v>875</v>
      </c>
      <c r="H18" s="61" t="s">
        <v>876</v>
      </c>
      <c r="I18" s="61" t="s">
        <v>42</v>
      </c>
      <c r="J18" s="61" t="s">
        <v>43</v>
      </c>
      <c r="K18" s="61" t="s">
        <v>44</v>
      </c>
    </row>
    <row r="19" spans="1:11" ht="135" x14ac:dyDescent="0.25">
      <c r="A19" s="59">
        <f t="shared" si="0"/>
        <v>17</v>
      </c>
      <c r="B19" s="59" t="s">
        <v>499</v>
      </c>
      <c r="C19" s="61" t="s">
        <v>900</v>
      </c>
      <c r="D19" s="61" t="s">
        <v>901</v>
      </c>
      <c r="E19" s="61" t="s">
        <v>903</v>
      </c>
      <c r="F19" s="61" t="s">
        <v>904</v>
      </c>
      <c r="G19" s="61" t="s">
        <v>905</v>
      </c>
      <c r="H19" s="61" t="s">
        <v>906</v>
      </c>
      <c r="I19" s="61" t="s">
        <v>42</v>
      </c>
      <c r="J19" s="61" t="s">
        <v>43</v>
      </c>
      <c r="K19" s="61" t="s">
        <v>44</v>
      </c>
    </row>
    <row r="20" spans="1:11" ht="75" x14ac:dyDescent="0.25">
      <c r="A20" s="59">
        <f t="shared" si="0"/>
        <v>18</v>
      </c>
      <c r="B20" s="59" t="s">
        <v>500</v>
      </c>
      <c r="C20" s="61" t="s">
        <v>920</v>
      </c>
      <c r="D20" s="61" t="s">
        <v>921</v>
      </c>
      <c r="E20" s="61" t="s">
        <v>922</v>
      </c>
      <c r="F20" s="61" t="s">
        <v>923</v>
      </c>
      <c r="G20" s="61" t="s">
        <v>924</v>
      </c>
      <c r="H20" s="61" t="s">
        <v>925</v>
      </c>
      <c r="I20" s="61" t="s">
        <v>42</v>
      </c>
      <c r="J20" s="61" t="s">
        <v>44</v>
      </c>
      <c r="K20" s="61" t="s">
        <v>44</v>
      </c>
    </row>
    <row r="21" spans="1:11" ht="135" x14ac:dyDescent="0.25">
      <c r="A21" s="59">
        <f t="shared" si="0"/>
        <v>19</v>
      </c>
      <c r="B21" s="59" t="s">
        <v>501</v>
      </c>
      <c r="C21" s="61" t="s">
        <v>931</v>
      </c>
      <c r="D21" s="61" t="s">
        <v>932</v>
      </c>
      <c r="E21" s="61" t="s">
        <v>378</v>
      </c>
      <c r="F21" s="61" t="s">
        <v>933</v>
      </c>
      <c r="G21" s="61" t="s">
        <v>42</v>
      </c>
      <c r="H21" s="61" t="s">
        <v>934</v>
      </c>
      <c r="I21" s="61" t="s">
        <v>42</v>
      </c>
      <c r="J21" s="61" t="s">
        <v>44</v>
      </c>
      <c r="K21" s="61" t="s">
        <v>44</v>
      </c>
    </row>
    <row r="22" spans="1:11" ht="120" x14ac:dyDescent="0.25">
      <c r="A22" s="59">
        <f t="shared" si="0"/>
        <v>20</v>
      </c>
      <c r="B22" s="59" t="s">
        <v>502</v>
      </c>
      <c r="C22" s="61" t="s">
        <v>937</v>
      </c>
      <c r="D22" s="61" t="s">
        <v>938</v>
      </c>
      <c r="E22" s="61" t="s">
        <v>939</v>
      </c>
      <c r="F22" s="61" t="s">
        <v>940</v>
      </c>
      <c r="G22" s="61" t="s">
        <v>941</v>
      </c>
      <c r="H22" s="61" t="s">
        <v>942</v>
      </c>
      <c r="I22" s="61" t="s">
        <v>42</v>
      </c>
      <c r="J22" s="61" t="s">
        <v>44</v>
      </c>
      <c r="K22" s="61" t="s">
        <v>44</v>
      </c>
    </row>
    <row r="23" spans="1:11" ht="165" x14ac:dyDescent="0.25">
      <c r="A23" s="59">
        <f t="shared" si="0"/>
        <v>21</v>
      </c>
      <c r="B23" s="59" t="s">
        <v>503</v>
      </c>
      <c r="C23" s="61" t="s">
        <v>948</v>
      </c>
      <c r="D23" s="61" t="s">
        <v>949</v>
      </c>
      <c r="E23" s="61" t="s">
        <v>950</v>
      </c>
      <c r="F23" s="61" t="s">
        <v>951</v>
      </c>
      <c r="G23" s="61" t="s">
        <v>952</v>
      </c>
      <c r="H23" s="61" t="s">
        <v>953</v>
      </c>
      <c r="I23" s="61" t="s">
        <v>42</v>
      </c>
      <c r="J23" s="61" t="s">
        <v>44</v>
      </c>
      <c r="K23" s="61" t="s">
        <v>44</v>
      </c>
    </row>
    <row r="24" spans="1:11" ht="60" x14ac:dyDescent="0.25">
      <c r="A24" s="59">
        <f t="shared" si="0"/>
        <v>22</v>
      </c>
      <c r="B24" s="59" t="s">
        <v>504</v>
      </c>
      <c r="C24" s="61" t="s">
        <v>958</v>
      </c>
      <c r="D24" s="61" t="s">
        <v>959</v>
      </c>
      <c r="E24" s="61" t="s">
        <v>960</v>
      </c>
      <c r="F24" s="61" t="s">
        <v>961</v>
      </c>
      <c r="G24" s="61" t="s">
        <v>42</v>
      </c>
      <c r="H24" s="61" t="s">
        <v>962</v>
      </c>
      <c r="I24" s="61" t="s">
        <v>42</v>
      </c>
      <c r="J24" s="61" t="s">
        <v>44</v>
      </c>
      <c r="K24" s="61" t="s">
        <v>44</v>
      </c>
    </row>
    <row r="25" spans="1:11" ht="90" x14ac:dyDescent="0.25">
      <c r="A25" s="59">
        <f t="shared" si="0"/>
        <v>23</v>
      </c>
      <c r="B25" s="59" t="s">
        <v>505</v>
      </c>
      <c r="C25" s="61" t="s">
        <v>965</v>
      </c>
      <c r="D25" s="61" t="s">
        <v>966</v>
      </c>
      <c r="E25" s="61" t="s">
        <v>967</v>
      </c>
      <c r="F25" s="61" t="s">
        <v>968</v>
      </c>
      <c r="G25" s="61" t="s">
        <v>973</v>
      </c>
      <c r="H25" s="61" t="s">
        <v>969</v>
      </c>
      <c r="I25" s="61" t="s">
        <v>42</v>
      </c>
      <c r="J25" s="61" t="s">
        <v>43</v>
      </c>
      <c r="K25" s="61" t="s">
        <v>43</v>
      </c>
    </row>
    <row r="26" spans="1:11" ht="225" x14ac:dyDescent="0.25">
      <c r="A26" s="59">
        <f t="shared" si="0"/>
        <v>24</v>
      </c>
      <c r="B26" s="59" t="s">
        <v>506</v>
      </c>
      <c r="C26" s="61" t="s">
        <v>974</v>
      </c>
      <c r="D26" s="61" t="s">
        <v>975</v>
      </c>
      <c r="E26" s="61" t="s">
        <v>976</v>
      </c>
      <c r="F26" s="61" t="s">
        <v>977</v>
      </c>
      <c r="G26" s="61" t="s">
        <v>978</v>
      </c>
      <c r="H26" s="61" t="s">
        <v>979</v>
      </c>
      <c r="I26" s="61" t="s">
        <v>42</v>
      </c>
      <c r="J26" s="61" t="s">
        <v>44</v>
      </c>
      <c r="K26" s="61" t="s">
        <v>44</v>
      </c>
    </row>
    <row r="27" spans="1:11" ht="90" x14ac:dyDescent="0.25">
      <c r="A27" s="59">
        <f t="shared" si="0"/>
        <v>25</v>
      </c>
      <c r="B27" s="59" t="s">
        <v>507</v>
      </c>
      <c r="C27" s="61" t="s">
        <v>1008</v>
      </c>
      <c r="D27" s="61" t="s">
        <v>1009</v>
      </c>
      <c r="E27" s="61" t="s">
        <v>1010</v>
      </c>
      <c r="F27" s="61" t="s">
        <v>1011</v>
      </c>
      <c r="G27" s="61" t="s">
        <v>42</v>
      </c>
      <c r="H27" s="61" t="s">
        <v>1012</v>
      </c>
      <c r="I27" s="61" t="s">
        <v>42</v>
      </c>
      <c r="J27" s="61" t="s">
        <v>43</v>
      </c>
      <c r="K27" s="61" t="s">
        <v>43</v>
      </c>
    </row>
    <row r="28" spans="1:11" ht="105" x14ac:dyDescent="0.25">
      <c r="A28" s="59">
        <f t="shared" si="0"/>
        <v>26</v>
      </c>
      <c r="B28" s="59" t="s">
        <v>508</v>
      </c>
      <c r="C28" s="61" t="s">
        <v>1016</v>
      </c>
      <c r="D28" s="61" t="s">
        <v>1017</v>
      </c>
      <c r="E28" s="61" t="s">
        <v>960</v>
      </c>
      <c r="F28" s="61" t="s">
        <v>1018</v>
      </c>
      <c r="G28" s="61" t="s">
        <v>1019</v>
      </c>
      <c r="H28" s="61" t="s">
        <v>925</v>
      </c>
      <c r="I28" s="61" t="s">
        <v>42</v>
      </c>
      <c r="J28" s="61" t="s">
        <v>44</v>
      </c>
      <c r="K28" s="61" t="s">
        <v>44</v>
      </c>
    </row>
    <row r="29" spans="1:11" ht="120" x14ac:dyDescent="0.25">
      <c r="A29" s="59">
        <f t="shared" si="0"/>
        <v>27</v>
      </c>
      <c r="B29" s="59" t="s">
        <v>509</v>
      </c>
      <c r="C29" s="61" t="s">
        <v>1024</v>
      </c>
      <c r="D29" s="61" t="s">
        <v>1025</v>
      </c>
      <c r="E29" s="61" t="s">
        <v>1026</v>
      </c>
      <c r="F29" s="61" t="s">
        <v>1027</v>
      </c>
      <c r="G29" s="61" t="s">
        <v>42</v>
      </c>
      <c r="H29" s="61" t="s">
        <v>1028</v>
      </c>
      <c r="I29" s="61" t="s">
        <v>42</v>
      </c>
      <c r="J29" s="61" t="s">
        <v>43</v>
      </c>
      <c r="K29" s="61" t="s">
        <v>44</v>
      </c>
    </row>
    <row r="30" spans="1:11" ht="120" x14ac:dyDescent="0.25">
      <c r="A30" s="59">
        <f t="shared" si="0"/>
        <v>28</v>
      </c>
      <c r="B30" s="59" t="s">
        <v>511</v>
      </c>
      <c r="C30" s="61" t="s">
        <v>1039</v>
      </c>
      <c r="D30" s="61" t="s">
        <v>1040</v>
      </c>
      <c r="E30" s="61" t="s">
        <v>1041</v>
      </c>
      <c r="F30" s="61" t="s">
        <v>1042</v>
      </c>
      <c r="G30" s="61" t="s">
        <v>42</v>
      </c>
      <c r="H30" s="61" t="s">
        <v>1043</v>
      </c>
      <c r="I30" s="61" t="s">
        <v>42</v>
      </c>
      <c r="J30" s="61" t="s">
        <v>44</v>
      </c>
      <c r="K30" s="61" t="s">
        <v>44</v>
      </c>
    </row>
    <row r="31" spans="1:11" ht="150" x14ac:dyDescent="0.25">
      <c r="A31" s="59">
        <f t="shared" si="0"/>
        <v>29</v>
      </c>
      <c r="B31" s="59" t="s">
        <v>510</v>
      </c>
      <c r="C31" s="61" t="s">
        <v>1045</v>
      </c>
      <c r="D31" s="61" t="s">
        <v>1046</v>
      </c>
      <c r="E31" s="61" t="s">
        <v>1047</v>
      </c>
      <c r="F31" s="61" t="s">
        <v>1048</v>
      </c>
      <c r="G31" s="61" t="s">
        <v>1049</v>
      </c>
      <c r="H31" s="61" t="s">
        <v>1050</v>
      </c>
      <c r="I31" s="61" t="s">
        <v>42</v>
      </c>
      <c r="J31" s="61" t="s">
        <v>44</v>
      </c>
      <c r="K31" s="61" t="s">
        <v>44</v>
      </c>
    </row>
    <row r="32" spans="1:11" ht="180" x14ac:dyDescent="0.25">
      <c r="A32" s="59">
        <f t="shared" si="0"/>
        <v>30</v>
      </c>
      <c r="B32" s="59" t="s">
        <v>512</v>
      </c>
      <c r="C32" s="61" t="s">
        <v>1055</v>
      </c>
      <c r="D32" s="61" t="s">
        <v>1056</v>
      </c>
      <c r="E32" s="61" t="s">
        <v>1057</v>
      </c>
      <c r="F32" s="61" t="s">
        <v>1058</v>
      </c>
      <c r="G32" s="61" t="s">
        <v>42</v>
      </c>
      <c r="H32" s="61" t="s">
        <v>1059</v>
      </c>
      <c r="I32" s="61" t="s">
        <v>42</v>
      </c>
      <c r="J32" s="61" t="s">
        <v>43</v>
      </c>
      <c r="K32" s="61" t="s">
        <v>44</v>
      </c>
    </row>
    <row r="33" spans="1:11" ht="165" x14ac:dyDescent="0.25">
      <c r="A33" s="59">
        <f t="shared" si="0"/>
        <v>31</v>
      </c>
      <c r="B33" s="59" t="s">
        <v>634</v>
      </c>
      <c r="C33" s="61" t="s">
        <v>657</v>
      </c>
      <c r="D33" s="61" t="s">
        <v>658</v>
      </c>
      <c r="E33" s="61" t="s">
        <v>659</v>
      </c>
      <c r="F33" s="61" t="s">
        <v>660</v>
      </c>
      <c r="G33" s="61" t="s">
        <v>661</v>
      </c>
      <c r="H33" s="61" t="s">
        <v>662</v>
      </c>
      <c r="I33" s="61" t="s">
        <v>42</v>
      </c>
      <c r="J33" s="61" t="s">
        <v>43</v>
      </c>
      <c r="K33" s="61" t="s">
        <v>44</v>
      </c>
    </row>
    <row r="34" spans="1:11" ht="150" x14ac:dyDescent="0.25">
      <c r="A34" s="59">
        <f t="shared" si="0"/>
        <v>32</v>
      </c>
      <c r="B34" s="59" t="s">
        <v>852</v>
      </c>
      <c r="C34" s="61" t="s">
        <v>1031</v>
      </c>
      <c r="D34" s="61" t="s">
        <v>1032</v>
      </c>
      <c r="E34" s="61" t="s">
        <v>1033</v>
      </c>
      <c r="F34" s="61" t="s">
        <v>1034</v>
      </c>
      <c r="G34" s="61" t="s">
        <v>42</v>
      </c>
      <c r="H34" s="61" t="s">
        <v>1035</v>
      </c>
      <c r="I34" s="61" t="s">
        <v>42</v>
      </c>
      <c r="J34" s="61" t="s">
        <v>44</v>
      </c>
      <c r="K34" s="61" t="s">
        <v>44</v>
      </c>
    </row>
    <row r="35" spans="1:11" x14ac:dyDescent="0.25">
      <c r="A35" s="98" t="s">
        <v>663</v>
      </c>
      <c r="B35" s="98"/>
      <c r="C35" s="98"/>
      <c r="D35" s="98"/>
      <c r="E35" s="98"/>
      <c r="F35" s="98"/>
      <c r="G35" s="98"/>
      <c r="H35" s="98"/>
      <c r="I35" s="98"/>
      <c r="J35" s="98"/>
      <c r="K35" s="98"/>
    </row>
    <row r="36" spans="1:11" ht="150" x14ac:dyDescent="0.25">
      <c r="A36" s="59">
        <f>A34+1</f>
        <v>33</v>
      </c>
      <c r="B36" s="59" t="s">
        <v>498</v>
      </c>
      <c r="C36" s="76" t="s">
        <v>902</v>
      </c>
      <c r="D36" s="61" t="s">
        <v>710</v>
      </c>
      <c r="E36" s="61" t="s">
        <v>665</v>
      </c>
      <c r="F36" s="61" t="s">
        <v>670</v>
      </c>
      <c r="G36" s="61" t="s">
        <v>671</v>
      </c>
      <c r="H36" s="76" t="s">
        <v>672</v>
      </c>
      <c r="I36" s="76"/>
      <c r="J36" s="61" t="s">
        <v>44</v>
      </c>
      <c r="K36" s="61" t="s">
        <v>44</v>
      </c>
    </row>
    <row r="37" spans="1:11" ht="135" x14ac:dyDescent="0.25">
      <c r="A37" s="59">
        <f t="shared" ref="A37:A43" si="1">A36+1</f>
        <v>34</v>
      </c>
      <c r="B37" s="59" t="s">
        <v>499</v>
      </c>
      <c r="C37" s="61" t="s">
        <v>688</v>
      </c>
      <c r="D37" s="61" t="s">
        <v>710</v>
      </c>
      <c r="E37" s="61" t="s">
        <v>690</v>
      </c>
      <c r="F37" s="61" t="s">
        <v>689</v>
      </c>
      <c r="G37" s="61" t="s">
        <v>686</v>
      </c>
      <c r="H37" s="61" t="s">
        <v>687</v>
      </c>
      <c r="J37" s="61" t="s">
        <v>44</v>
      </c>
      <c r="K37" s="61" t="s">
        <v>44</v>
      </c>
    </row>
    <row r="38" spans="1:11" ht="210" x14ac:dyDescent="0.25">
      <c r="A38" s="59">
        <f t="shared" si="1"/>
        <v>35</v>
      </c>
      <c r="B38" s="59" t="s">
        <v>0</v>
      </c>
      <c r="C38" s="61" t="s">
        <v>709</v>
      </c>
      <c r="D38" s="61" t="s">
        <v>710</v>
      </c>
      <c r="E38" s="61" t="s">
        <v>711</v>
      </c>
      <c r="F38" s="61" t="s">
        <v>712</v>
      </c>
      <c r="G38" s="61" t="s">
        <v>42</v>
      </c>
      <c r="H38" s="61" t="s">
        <v>687</v>
      </c>
      <c r="J38" s="61" t="s">
        <v>44</v>
      </c>
      <c r="K38" s="61" t="s">
        <v>43</v>
      </c>
    </row>
    <row r="39" spans="1:11" ht="165" x14ac:dyDescent="0.25">
      <c r="A39" s="59">
        <f t="shared" si="1"/>
        <v>36</v>
      </c>
      <c r="B39" s="59" t="s">
        <v>5</v>
      </c>
      <c r="C39" s="61" t="s">
        <v>723</v>
      </c>
      <c r="D39" s="61" t="s">
        <v>710</v>
      </c>
      <c r="E39" s="61" t="s">
        <v>690</v>
      </c>
      <c r="F39" s="61" t="s">
        <v>1145</v>
      </c>
      <c r="G39" s="61" t="s">
        <v>42</v>
      </c>
      <c r="H39" s="61" t="s">
        <v>690</v>
      </c>
      <c r="J39" s="61" t="s">
        <v>44</v>
      </c>
      <c r="K39" s="61" t="s">
        <v>44</v>
      </c>
    </row>
    <row r="40" spans="1:11" ht="150" x14ac:dyDescent="0.25">
      <c r="A40" s="59">
        <f t="shared" si="1"/>
        <v>37</v>
      </c>
      <c r="B40" s="59" t="s">
        <v>8</v>
      </c>
      <c r="C40" s="61" t="s">
        <v>1146</v>
      </c>
      <c r="D40" s="61" t="s">
        <v>1147</v>
      </c>
      <c r="E40" s="61" t="s">
        <v>1148</v>
      </c>
      <c r="F40" s="61" t="s">
        <v>1162</v>
      </c>
      <c r="G40" s="61" t="s">
        <v>1151</v>
      </c>
      <c r="H40" s="61" t="s">
        <v>1149</v>
      </c>
      <c r="I40" s="61" t="s">
        <v>1163</v>
      </c>
      <c r="J40" s="61" t="s">
        <v>44</v>
      </c>
      <c r="K40" s="61" t="s">
        <v>44</v>
      </c>
    </row>
    <row r="41" spans="1:11" ht="210" x14ac:dyDescent="0.25">
      <c r="A41" s="59">
        <f t="shared" si="1"/>
        <v>38</v>
      </c>
      <c r="B41" s="59" t="s">
        <v>510</v>
      </c>
      <c r="C41" s="61" t="s">
        <v>1045</v>
      </c>
      <c r="D41" s="61" t="s">
        <v>1046</v>
      </c>
      <c r="E41" s="61" t="s">
        <v>1134</v>
      </c>
      <c r="F41" s="61" t="s">
        <v>1152</v>
      </c>
      <c r="G41" s="61" t="s">
        <v>1130</v>
      </c>
      <c r="H41" s="61" t="s">
        <v>1050</v>
      </c>
      <c r="I41" s="61" t="s">
        <v>1153</v>
      </c>
      <c r="J41" s="61" t="s">
        <v>44</v>
      </c>
      <c r="K41" s="61" t="s">
        <v>44</v>
      </c>
    </row>
    <row r="42" spans="1:11" ht="90" x14ac:dyDescent="0.25">
      <c r="A42" s="59">
        <f t="shared" si="1"/>
        <v>39</v>
      </c>
      <c r="B42" s="59" t="s">
        <v>13</v>
      </c>
      <c r="C42" s="61" t="s">
        <v>1175</v>
      </c>
      <c r="D42" s="61" t="s">
        <v>307</v>
      </c>
      <c r="E42" s="61" t="s">
        <v>690</v>
      </c>
      <c r="F42" s="61" t="s">
        <v>1176</v>
      </c>
      <c r="G42" s="61" t="s">
        <v>42</v>
      </c>
      <c r="H42" s="61" t="s">
        <v>1177</v>
      </c>
      <c r="I42" s="61" t="s">
        <v>42</v>
      </c>
      <c r="J42" s="61" t="s">
        <v>44</v>
      </c>
      <c r="K42" s="61" t="s">
        <v>44</v>
      </c>
    </row>
    <row r="43" spans="1:11" ht="150" x14ac:dyDescent="0.25">
      <c r="A43" s="59">
        <f t="shared" si="1"/>
        <v>40</v>
      </c>
      <c r="B43" s="59" t="s">
        <v>14</v>
      </c>
      <c r="C43" s="61" t="s">
        <v>1210</v>
      </c>
      <c r="D43" s="61" t="s">
        <v>1211</v>
      </c>
      <c r="E43" s="61" t="s">
        <v>1212</v>
      </c>
      <c r="F43" s="61" t="s">
        <v>1213</v>
      </c>
      <c r="G43" s="61" t="s">
        <v>42</v>
      </c>
      <c r="H43" s="61" t="s">
        <v>1214</v>
      </c>
      <c r="I43" s="61" t="s">
        <v>1215</v>
      </c>
      <c r="J43" s="61" t="s">
        <v>43</v>
      </c>
      <c r="K43" s="61" t="s">
        <v>44</v>
      </c>
    </row>
    <row r="44" spans="1:11" x14ac:dyDescent="0.25">
      <c r="A44" s="98" t="s">
        <v>664</v>
      </c>
      <c r="B44" s="98"/>
      <c r="C44" s="98"/>
      <c r="D44" s="98"/>
      <c r="E44" s="98"/>
      <c r="F44" s="98"/>
      <c r="G44" s="98"/>
      <c r="H44" s="98"/>
      <c r="I44" s="98"/>
      <c r="J44" s="98"/>
      <c r="K44" s="98"/>
    </row>
    <row r="45" spans="1:11" ht="225" x14ac:dyDescent="0.25">
      <c r="A45" s="59">
        <f>A43+1</f>
        <v>41</v>
      </c>
      <c r="B45" s="59" t="s">
        <v>498</v>
      </c>
      <c r="C45" s="61" t="s">
        <v>725</v>
      </c>
      <c r="D45" s="61" t="s">
        <v>710</v>
      </c>
      <c r="E45" s="61" t="s">
        <v>690</v>
      </c>
      <c r="F45" s="61" t="s">
        <v>1174</v>
      </c>
      <c r="G45" s="61" t="s">
        <v>42</v>
      </c>
      <c r="H45" s="61" t="s">
        <v>690</v>
      </c>
      <c r="I45" s="61" t="s">
        <v>42</v>
      </c>
      <c r="J45" s="61" t="s">
        <v>44</v>
      </c>
      <c r="K45" s="61" t="s">
        <v>43</v>
      </c>
    </row>
    <row r="46" spans="1:11" ht="135" x14ac:dyDescent="0.25">
      <c r="A46" s="59">
        <f t="shared" ref="A46:A48" si="2">A45+1</f>
        <v>42</v>
      </c>
      <c r="B46" s="59" t="s">
        <v>5</v>
      </c>
      <c r="C46" s="61" t="s">
        <v>733</v>
      </c>
      <c r="D46" s="61" t="s">
        <v>710</v>
      </c>
      <c r="E46" s="61" t="s">
        <v>690</v>
      </c>
      <c r="F46" s="61" t="s">
        <v>734</v>
      </c>
      <c r="G46" s="61" t="s">
        <v>42</v>
      </c>
      <c r="H46" s="61" t="s">
        <v>690</v>
      </c>
      <c r="I46" s="61" t="s">
        <v>42</v>
      </c>
      <c r="J46" s="61" t="s">
        <v>44</v>
      </c>
      <c r="K46" s="61" t="s">
        <v>43</v>
      </c>
    </row>
    <row r="47" spans="1:11" ht="135" x14ac:dyDescent="0.25">
      <c r="A47" s="59">
        <f t="shared" si="2"/>
        <v>43</v>
      </c>
      <c r="B47" s="59" t="s">
        <v>8</v>
      </c>
      <c r="C47" s="61" t="s">
        <v>1252</v>
      </c>
      <c r="D47" s="61" t="s">
        <v>1253</v>
      </c>
      <c r="E47" s="61" t="s">
        <v>1254</v>
      </c>
      <c r="F47" s="61" t="s">
        <v>1255</v>
      </c>
      <c r="G47" s="61" t="s">
        <v>42</v>
      </c>
      <c r="H47" s="61" t="s">
        <v>1149</v>
      </c>
      <c r="I47" s="61" t="s">
        <v>42</v>
      </c>
      <c r="J47" s="61" t="s">
        <v>44</v>
      </c>
      <c r="K47" s="61" t="s">
        <v>44</v>
      </c>
    </row>
    <row r="48" spans="1:11" ht="225" x14ac:dyDescent="0.25">
      <c r="A48" s="59">
        <f t="shared" si="2"/>
        <v>44</v>
      </c>
      <c r="B48" s="59" t="s">
        <v>510</v>
      </c>
      <c r="C48" s="61" t="s">
        <v>1045</v>
      </c>
      <c r="D48" s="61" t="s">
        <v>1046</v>
      </c>
      <c r="E48" s="61" t="s">
        <v>376</v>
      </c>
      <c r="F48" s="61" t="s">
        <v>1235</v>
      </c>
      <c r="G48" s="61" t="s">
        <v>1236</v>
      </c>
      <c r="H48" s="61" t="s">
        <v>1050</v>
      </c>
      <c r="I48" s="61" t="s">
        <v>42</v>
      </c>
      <c r="J48" s="61" t="s">
        <v>44</v>
      </c>
      <c r="K48" s="61" t="s">
        <v>44</v>
      </c>
    </row>
  </sheetData>
  <mergeCells count="5">
    <mergeCell ref="C1:G1"/>
    <mergeCell ref="J1:K1"/>
    <mergeCell ref="A35:K35"/>
    <mergeCell ref="A44:K44"/>
    <mergeCell ref="H1:I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V55"/>
  <sheetViews>
    <sheetView zoomScaleNormal="100" workbookViewId="0">
      <pane xSplit="2" ySplit="1" topLeftCell="C2" activePane="bottomRight" state="frozen"/>
      <selection pane="topRight" activeCell="C1" sqref="C1"/>
      <selection pane="bottomLeft" activeCell="A2" sqref="A2"/>
      <selection pane="bottomRight" activeCell="A4" sqref="A4"/>
    </sheetView>
  </sheetViews>
  <sheetFormatPr defaultRowHeight="15" x14ac:dyDescent="0.25"/>
  <cols>
    <col min="1" max="2" width="15.7109375" style="48" customWidth="1"/>
    <col min="3" max="74" width="30.7109375" style="64" customWidth="1"/>
    <col min="75" max="16384" width="9.140625" style="64"/>
  </cols>
  <sheetData>
    <row r="1" spans="1:74" s="68" customFormat="1" x14ac:dyDescent="0.25">
      <c r="A1" s="66" t="s">
        <v>513</v>
      </c>
      <c r="B1" s="66" t="s">
        <v>514</v>
      </c>
      <c r="C1" s="67">
        <v>1</v>
      </c>
      <c r="D1" s="67">
        <f>C1+1</f>
        <v>2</v>
      </c>
      <c r="E1" s="67">
        <f t="shared" ref="E1:BP1" si="0">D1+1</f>
        <v>3</v>
      </c>
      <c r="F1" s="67">
        <f t="shared" si="0"/>
        <v>4</v>
      </c>
      <c r="G1" s="67">
        <f t="shared" si="0"/>
        <v>5</v>
      </c>
      <c r="H1" s="67">
        <f t="shared" si="0"/>
        <v>6</v>
      </c>
      <c r="I1" s="67">
        <f t="shared" si="0"/>
        <v>7</v>
      </c>
      <c r="J1" s="67">
        <f t="shared" si="0"/>
        <v>8</v>
      </c>
      <c r="K1" s="67">
        <f t="shared" si="0"/>
        <v>9</v>
      </c>
      <c r="L1" s="67">
        <f t="shared" si="0"/>
        <v>10</v>
      </c>
      <c r="M1" s="67">
        <f t="shared" si="0"/>
        <v>11</v>
      </c>
      <c r="N1" s="67">
        <f t="shared" si="0"/>
        <v>12</v>
      </c>
      <c r="O1" s="67">
        <f t="shared" si="0"/>
        <v>13</v>
      </c>
      <c r="P1" s="67">
        <f t="shared" si="0"/>
        <v>14</v>
      </c>
      <c r="Q1" s="67">
        <f t="shared" si="0"/>
        <v>15</v>
      </c>
      <c r="R1" s="67">
        <f t="shared" si="0"/>
        <v>16</v>
      </c>
      <c r="S1" s="67">
        <f t="shared" si="0"/>
        <v>17</v>
      </c>
      <c r="T1" s="67">
        <f t="shared" si="0"/>
        <v>18</v>
      </c>
      <c r="U1" s="67">
        <f t="shared" si="0"/>
        <v>19</v>
      </c>
      <c r="V1" s="67">
        <f t="shared" si="0"/>
        <v>20</v>
      </c>
      <c r="W1" s="67">
        <f t="shared" si="0"/>
        <v>21</v>
      </c>
      <c r="X1" s="67">
        <f t="shared" si="0"/>
        <v>22</v>
      </c>
      <c r="Y1" s="67">
        <f t="shared" si="0"/>
        <v>23</v>
      </c>
      <c r="Z1" s="67">
        <f t="shared" si="0"/>
        <v>24</v>
      </c>
      <c r="AA1" s="67">
        <f t="shared" si="0"/>
        <v>25</v>
      </c>
      <c r="AB1" s="67">
        <f t="shared" si="0"/>
        <v>26</v>
      </c>
      <c r="AC1" s="67">
        <f t="shared" si="0"/>
        <v>27</v>
      </c>
      <c r="AD1" s="67">
        <f t="shared" si="0"/>
        <v>28</v>
      </c>
      <c r="AE1" s="67">
        <f t="shared" si="0"/>
        <v>29</v>
      </c>
      <c r="AF1" s="67">
        <f t="shared" si="0"/>
        <v>30</v>
      </c>
      <c r="AG1" s="67">
        <f t="shared" si="0"/>
        <v>31</v>
      </c>
      <c r="AH1" s="67">
        <f t="shared" si="0"/>
        <v>32</v>
      </c>
      <c r="AI1" s="67">
        <f t="shared" si="0"/>
        <v>33</v>
      </c>
      <c r="AJ1" s="67">
        <f t="shared" si="0"/>
        <v>34</v>
      </c>
      <c r="AK1" s="67">
        <f t="shared" si="0"/>
        <v>35</v>
      </c>
      <c r="AL1" s="67">
        <f t="shared" si="0"/>
        <v>36</v>
      </c>
      <c r="AM1" s="67">
        <f t="shared" si="0"/>
        <v>37</v>
      </c>
      <c r="AN1" s="67">
        <f t="shared" si="0"/>
        <v>38</v>
      </c>
      <c r="AO1" s="67">
        <f t="shared" si="0"/>
        <v>39</v>
      </c>
      <c r="AP1" s="67">
        <f t="shared" si="0"/>
        <v>40</v>
      </c>
      <c r="AQ1" s="67">
        <f t="shared" si="0"/>
        <v>41</v>
      </c>
      <c r="AR1" s="67">
        <f t="shared" si="0"/>
        <v>42</v>
      </c>
      <c r="AS1" s="67">
        <f t="shared" si="0"/>
        <v>43</v>
      </c>
      <c r="AT1" s="67">
        <f t="shared" si="0"/>
        <v>44</v>
      </c>
      <c r="AU1" s="67">
        <f t="shared" si="0"/>
        <v>45</v>
      </c>
      <c r="AV1" s="67">
        <f t="shared" si="0"/>
        <v>46</v>
      </c>
      <c r="AW1" s="67">
        <f t="shared" si="0"/>
        <v>47</v>
      </c>
      <c r="AX1" s="67">
        <f t="shared" si="0"/>
        <v>48</v>
      </c>
      <c r="AY1" s="67">
        <f t="shared" si="0"/>
        <v>49</v>
      </c>
      <c r="AZ1" s="67">
        <f t="shared" si="0"/>
        <v>50</v>
      </c>
      <c r="BA1" s="67">
        <f t="shared" si="0"/>
        <v>51</v>
      </c>
      <c r="BB1" s="67">
        <f t="shared" si="0"/>
        <v>52</v>
      </c>
      <c r="BC1" s="67">
        <f t="shared" si="0"/>
        <v>53</v>
      </c>
      <c r="BD1" s="67">
        <f t="shared" si="0"/>
        <v>54</v>
      </c>
      <c r="BE1" s="67">
        <f t="shared" si="0"/>
        <v>55</v>
      </c>
      <c r="BF1" s="67">
        <f>BE1+1</f>
        <v>56</v>
      </c>
      <c r="BG1" s="67">
        <f t="shared" si="0"/>
        <v>57</v>
      </c>
      <c r="BH1" s="67">
        <f t="shared" si="0"/>
        <v>58</v>
      </c>
      <c r="BI1" s="67">
        <f t="shared" si="0"/>
        <v>59</v>
      </c>
      <c r="BJ1" s="67">
        <f t="shared" si="0"/>
        <v>60</v>
      </c>
      <c r="BK1" s="67">
        <f t="shared" si="0"/>
        <v>61</v>
      </c>
      <c r="BL1" s="67">
        <f t="shared" si="0"/>
        <v>62</v>
      </c>
      <c r="BM1" s="67">
        <f t="shared" si="0"/>
        <v>63</v>
      </c>
      <c r="BN1" s="67">
        <f t="shared" si="0"/>
        <v>64</v>
      </c>
      <c r="BO1" s="67">
        <f t="shared" si="0"/>
        <v>65</v>
      </c>
      <c r="BP1" s="67">
        <f t="shared" si="0"/>
        <v>66</v>
      </c>
      <c r="BQ1" s="67">
        <f>BP1+1</f>
        <v>67</v>
      </c>
      <c r="BR1" s="67">
        <f>BQ1+1</f>
        <v>68</v>
      </c>
      <c r="BS1" s="67">
        <f>BR1+1</f>
        <v>69</v>
      </c>
      <c r="BT1" s="67">
        <f>BS1+1</f>
        <v>70</v>
      </c>
      <c r="BU1" s="67">
        <v>71</v>
      </c>
      <c r="BV1" s="67">
        <v>72</v>
      </c>
    </row>
    <row r="2" spans="1:74" x14ac:dyDescent="0.25">
      <c r="A2" s="100" t="s">
        <v>851</v>
      </c>
      <c r="B2" s="100"/>
      <c r="C2" s="100"/>
      <c r="D2" s="100"/>
      <c r="E2" s="100"/>
      <c r="F2" s="100"/>
      <c r="G2" s="100"/>
      <c r="H2" s="100"/>
      <c r="I2" s="100"/>
      <c r="J2" s="100"/>
      <c r="K2" s="100"/>
      <c r="L2" s="100"/>
      <c r="M2" s="100"/>
      <c r="N2" s="100"/>
      <c r="O2" s="100"/>
      <c r="P2" s="100"/>
      <c r="Q2" s="100"/>
      <c r="R2" s="100"/>
      <c r="S2" s="100"/>
      <c r="T2" s="100"/>
      <c r="U2" s="100"/>
      <c r="V2" s="100"/>
      <c r="W2" s="100"/>
      <c r="X2" s="100"/>
      <c r="Y2" s="100"/>
      <c r="Z2" s="100"/>
      <c r="AA2" s="100"/>
      <c r="AB2" s="100"/>
      <c r="AC2" s="100"/>
      <c r="AD2" s="100"/>
      <c r="AE2" s="100"/>
      <c r="AF2" s="100"/>
      <c r="AG2" s="100"/>
      <c r="AH2" s="100"/>
      <c r="AI2" s="100"/>
      <c r="AJ2" s="100"/>
      <c r="AK2" s="100"/>
      <c r="AL2" s="100"/>
      <c r="AM2" s="100"/>
      <c r="AN2" s="100"/>
      <c r="AO2" s="100"/>
      <c r="AP2" s="100"/>
      <c r="AQ2" s="100"/>
      <c r="AR2" s="100"/>
      <c r="AS2" s="100"/>
      <c r="AT2" s="100"/>
      <c r="AU2" s="100"/>
      <c r="AV2" s="100"/>
      <c r="AW2" s="100"/>
      <c r="AX2" s="100"/>
      <c r="AY2" s="100"/>
      <c r="AZ2" s="100"/>
      <c r="BA2" s="100"/>
      <c r="BB2" s="100"/>
      <c r="BC2" s="100"/>
      <c r="BD2" s="100"/>
      <c r="BE2" s="100"/>
      <c r="BF2" s="100"/>
      <c r="BG2" s="100"/>
      <c r="BH2" s="100"/>
      <c r="BI2" s="100"/>
      <c r="BJ2" s="100"/>
      <c r="BK2" s="100"/>
      <c r="BL2" s="100"/>
      <c r="BM2" s="100"/>
      <c r="BN2" s="100"/>
      <c r="BO2" s="100"/>
      <c r="BP2" s="100"/>
      <c r="BQ2" s="100"/>
      <c r="BR2" s="100"/>
      <c r="BS2" s="100"/>
      <c r="BT2" s="100"/>
      <c r="BU2" s="100"/>
      <c r="BV2" s="100"/>
    </row>
    <row r="3" spans="1:74" x14ac:dyDescent="0.25">
      <c r="A3" s="100"/>
      <c r="B3" s="100"/>
      <c r="C3" s="100"/>
      <c r="D3" s="100"/>
      <c r="E3" s="100"/>
      <c r="F3" s="100"/>
      <c r="G3" s="100"/>
      <c r="H3" s="100"/>
      <c r="I3" s="100"/>
      <c r="J3" s="100"/>
      <c r="K3" s="100"/>
      <c r="L3" s="100"/>
      <c r="M3" s="100"/>
      <c r="N3" s="100"/>
      <c r="O3" s="100"/>
      <c r="P3" s="100"/>
      <c r="Q3" s="100"/>
      <c r="R3" s="100"/>
      <c r="S3" s="100"/>
      <c r="T3" s="100"/>
      <c r="U3" s="100"/>
      <c r="V3" s="100"/>
      <c r="W3" s="100"/>
      <c r="X3" s="100"/>
      <c r="Y3" s="100"/>
      <c r="Z3" s="100"/>
      <c r="AA3" s="100"/>
      <c r="AB3" s="100"/>
      <c r="AC3" s="100"/>
      <c r="AD3" s="100"/>
      <c r="AE3" s="100"/>
      <c r="AF3" s="100"/>
      <c r="AG3" s="100"/>
      <c r="AH3" s="100"/>
      <c r="AI3" s="100"/>
      <c r="AJ3" s="100"/>
      <c r="AK3" s="100"/>
      <c r="AL3" s="100"/>
      <c r="AM3" s="100"/>
      <c r="AN3" s="100"/>
      <c r="AO3" s="100"/>
      <c r="AP3" s="100"/>
      <c r="AQ3" s="100"/>
      <c r="AR3" s="100"/>
      <c r="AS3" s="100"/>
      <c r="AT3" s="100"/>
      <c r="AU3" s="100"/>
      <c r="AV3" s="100"/>
      <c r="AW3" s="100"/>
      <c r="AX3" s="100"/>
      <c r="AY3" s="100"/>
      <c r="AZ3" s="100"/>
      <c r="BA3" s="100"/>
      <c r="BB3" s="100"/>
      <c r="BC3" s="100"/>
      <c r="BD3" s="100"/>
      <c r="BE3" s="100"/>
      <c r="BF3" s="100"/>
      <c r="BG3" s="100"/>
      <c r="BH3" s="100"/>
      <c r="BI3" s="100"/>
      <c r="BJ3" s="100"/>
      <c r="BK3" s="100"/>
      <c r="BL3" s="100"/>
      <c r="BM3" s="100"/>
      <c r="BN3" s="100"/>
      <c r="BO3" s="100"/>
      <c r="BP3" s="100"/>
      <c r="BQ3" s="100"/>
      <c r="BR3" s="100"/>
      <c r="BS3" s="100"/>
      <c r="BT3" s="100"/>
      <c r="BU3" s="100"/>
      <c r="BV3" s="100"/>
    </row>
    <row r="4" spans="1:74" ht="45" x14ac:dyDescent="0.25">
      <c r="A4" s="46">
        <v>1</v>
      </c>
      <c r="B4" s="46" t="s">
        <v>0</v>
      </c>
      <c r="C4" s="73"/>
      <c r="D4" s="107" t="s">
        <v>26</v>
      </c>
      <c r="E4" s="107"/>
      <c r="F4" s="107"/>
      <c r="G4" s="107"/>
      <c r="H4" s="107"/>
      <c r="I4" s="107"/>
      <c r="J4" s="107"/>
      <c r="K4" s="107"/>
      <c r="L4" s="107"/>
      <c r="M4" s="73"/>
      <c r="N4" s="73" t="s">
        <v>28</v>
      </c>
      <c r="O4" s="73"/>
      <c r="P4" s="107" t="s">
        <v>29</v>
      </c>
      <c r="Q4" s="107"/>
      <c r="R4" s="107"/>
      <c r="S4" s="107"/>
      <c r="T4" s="107"/>
      <c r="U4" s="107"/>
      <c r="V4" s="107"/>
      <c r="W4" s="73"/>
      <c r="X4" s="73"/>
      <c r="Y4" s="107" t="s">
        <v>30</v>
      </c>
      <c r="Z4" s="107"/>
      <c r="AA4" s="107"/>
      <c r="AB4" s="107"/>
      <c r="AC4" s="107"/>
      <c r="AD4" s="107"/>
      <c r="AE4" s="107"/>
      <c r="AF4" s="73"/>
      <c r="AG4" s="107" t="s">
        <v>27</v>
      </c>
      <c r="AH4" s="107"/>
      <c r="AI4" s="73"/>
      <c r="AJ4" s="73"/>
      <c r="AK4" s="73"/>
      <c r="AL4" s="73"/>
      <c r="AM4" s="73"/>
      <c r="AN4" s="73"/>
      <c r="AO4" s="73"/>
      <c r="AP4" s="73" t="s">
        <v>31</v>
      </c>
      <c r="AQ4" s="73"/>
      <c r="AR4" s="73" t="s">
        <v>32</v>
      </c>
      <c r="AS4" s="73"/>
      <c r="AT4" s="107" t="s">
        <v>33</v>
      </c>
      <c r="AU4" s="107"/>
      <c r="AV4" s="107"/>
      <c r="AW4" s="107"/>
      <c r="AX4" s="107"/>
      <c r="AY4" s="107"/>
      <c r="AZ4" s="107"/>
      <c r="BA4" s="107"/>
      <c r="BB4" s="107"/>
      <c r="BC4" s="73"/>
      <c r="BD4" s="73"/>
      <c r="BE4" s="73" t="s">
        <v>34</v>
      </c>
      <c r="BF4" s="73"/>
      <c r="BG4" s="107" t="s">
        <v>35</v>
      </c>
      <c r="BH4" s="107"/>
      <c r="BI4" s="107"/>
      <c r="BJ4" s="107"/>
      <c r="BK4" s="107"/>
      <c r="BL4" s="107"/>
      <c r="BM4" s="107"/>
      <c r="BN4" s="107"/>
      <c r="BO4" s="73"/>
      <c r="BP4" s="73" t="s">
        <v>37</v>
      </c>
      <c r="BQ4" s="73"/>
      <c r="BR4" s="73"/>
      <c r="BS4" s="73"/>
      <c r="BT4" s="73"/>
      <c r="BU4" s="107" t="s">
        <v>36</v>
      </c>
      <c r="BV4" s="107"/>
    </row>
    <row r="5" spans="1:74" ht="60" x14ac:dyDescent="0.25">
      <c r="A5" s="46">
        <f>A4+1</f>
        <v>2</v>
      </c>
      <c r="B5" s="46" t="s">
        <v>1</v>
      </c>
      <c r="C5" s="73"/>
      <c r="D5" s="107" t="s">
        <v>57</v>
      </c>
      <c r="E5" s="107"/>
      <c r="F5" s="107"/>
      <c r="G5" s="107"/>
      <c r="H5" s="107"/>
      <c r="I5" s="107"/>
      <c r="J5" s="107"/>
      <c r="K5" s="107"/>
      <c r="L5" s="73"/>
      <c r="M5" s="107" t="s">
        <v>439</v>
      </c>
      <c r="N5" s="107"/>
      <c r="O5" s="107"/>
      <c r="P5" s="73"/>
      <c r="Q5" s="107" t="s">
        <v>45</v>
      </c>
      <c r="R5" s="107"/>
      <c r="S5" s="107"/>
      <c r="T5" s="107"/>
      <c r="U5" s="107"/>
      <c r="V5" s="73"/>
      <c r="W5" s="107" t="s">
        <v>54</v>
      </c>
      <c r="X5" s="107"/>
      <c r="Y5" s="73"/>
      <c r="Z5" s="73"/>
      <c r="AA5" s="73" t="s">
        <v>55</v>
      </c>
      <c r="AB5" s="73"/>
      <c r="AC5" s="73" t="s">
        <v>56</v>
      </c>
      <c r="AD5" s="73"/>
      <c r="AE5" s="73"/>
      <c r="AF5" s="107" t="s">
        <v>46</v>
      </c>
      <c r="AG5" s="107"/>
      <c r="AH5" s="107"/>
      <c r="AI5" s="107"/>
      <c r="AJ5" s="107"/>
      <c r="AK5" s="107"/>
      <c r="AL5" s="107"/>
      <c r="AM5" s="73"/>
      <c r="AN5" s="73"/>
      <c r="AO5" s="73"/>
      <c r="AP5" s="107" t="s">
        <v>47</v>
      </c>
      <c r="AQ5" s="107"/>
      <c r="AR5" s="107"/>
      <c r="AS5" s="73"/>
      <c r="AT5" s="73"/>
      <c r="AU5" s="73" t="s">
        <v>464</v>
      </c>
      <c r="AV5" s="73" t="s">
        <v>465</v>
      </c>
      <c r="AW5" s="73" t="s">
        <v>466</v>
      </c>
      <c r="AX5" s="73"/>
      <c r="AY5" s="73" t="s">
        <v>48</v>
      </c>
      <c r="AZ5" s="73"/>
      <c r="BA5" s="73"/>
      <c r="BB5" s="107" t="s">
        <v>49</v>
      </c>
      <c r="BC5" s="107"/>
      <c r="BD5" s="73"/>
      <c r="BE5" s="73"/>
      <c r="BF5" s="73" t="s">
        <v>50</v>
      </c>
      <c r="BG5" s="73"/>
      <c r="BH5" s="73"/>
      <c r="BI5" s="73"/>
      <c r="BJ5" s="73" t="s">
        <v>51</v>
      </c>
      <c r="BK5" s="73"/>
      <c r="BL5" s="73"/>
      <c r="BM5" s="73"/>
      <c r="BN5" s="73"/>
      <c r="BO5" s="107" t="s">
        <v>52</v>
      </c>
      <c r="BP5" s="107"/>
      <c r="BQ5" s="73"/>
      <c r="BR5" s="108" t="s">
        <v>487</v>
      </c>
      <c r="BS5" s="110"/>
      <c r="BT5" s="73" t="s">
        <v>488</v>
      </c>
      <c r="BU5" s="107" t="s">
        <v>53</v>
      </c>
      <c r="BV5" s="107"/>
    </row>
    <row r="6" spans="1:74" ht="75" x14ac:dyDescent="0.25">
      <c r="A6" s="46">
        <f t="shared" ref="A6:A35" si="1">A5+1</f>
        <v>3</v>
      </c>
      <c r="B6" s="46" t="s">
        <v>2</v>
      </c>
      <c r="C6" s="73"/>
      <c r="D6" s="73"/>
      <c r="E6" s="73"/>
      <c r="F6" s="73" t="s">
        <v>58</v>
      </c>
      <c r="G6" s="73"/>
      <c r="H6" s="73"/>
      <c r="I6" s="73" t="s">
        <v>59</v>
      </c>
      <c r="J6" s="73"/>
      <c r="K6" s="73" t="s">
        <v>60</v>
      </c>
      <c r="L6" s="73"/>
      <c r="M6" s="107" t="s">
        <v>61</v>
      </c>
      <c r="N6" s="107"/>
      <c r="O6" s="73"/>
      <c r="P6" s="73"/>
      <c r="Q6" s="107" t="s">
        <v>62</v>
      </c>
      <c r="R6" s="107"/>
      <c r="S6" s="73"/>
      <c r="T6" s="73"/>
      <c r="U6" s="73" t="s">
        <v>63</v>
      </c>
      <c r="V6" s="73"/>
      <c r="W6" s="73"/>
      <c r="X6" s="73" t="s">
        <v>64</v>
      </c>
      <c r="Y6" s="73"/>
      <c r="Z6" s="73"/>
      <c r="AA6" s="73"/>
      <c r="AB6" s="73"/>
      <c r="AC6" s="73"/>
      <c r="AD6" s="73"/>
      <c r="AE6" s="73"/>
      <c r="AF6" s="107" t="s">
        <v>65</v>
      </c>
      <c r="AG6" s="107"/>
      <c r="AH6" s="107"/>
      <c r="AI6" s="73"/>
      <c r="AJ6" s="73"/>
      <c r="AK6" s="73" t="s">
        <v>66</v>
      </c>
      <c r="AL6" s="73"/>
      <c r="AM6" s="73" t="s">
        <v>67</v>
      </c>
      <c r="AN6" s="73"/>
      <c r="AO6" s="73"/>
      <c r="AP6" s="73" t="s">
        <v>68</v>
      </c>
      <c r="AQ6" s="73"/>
      <c r="AR6" s="73"/>
      <c r="AS6" s="73"/>
      <c r="AT6" s="73"/>
      <c r="AU6" s="73"/>
      <c r="AV6" s="73"/>
      <c r="AW6" s="73"/>
      <c r="AX6" s="73"/>
      <c r="AY6" s="73"/>
      <c r="AZ6" s="73"/>
      <c r="BA6" s="73"/>
      <c r="BB6" s="73"/>
      <c r="BC6" s="73"/>
      <c r="BD6" s="73"/>
      <c r="BE6" s="73" t="s">
        <v>69</v>
      </c>
      <c r="BF6" s="73"/>
      <c r="BG6" s="73"/>
      <c r="BH6" s="73"/>
      <c r="BI6" s="73" t="s">
        <v>71</v>
      </c>
      <c r="BJ6" s="73"/>
      <c r="BK6" s="73"/>
      <c r="BL6" s="73" t="s">
        <v>70</v>
      </c>
      <c r="BM6" s="73"/>
      <c r="BN6" s="73"/>
      <c r="BO6" s="73"/>
      <c r="BP6" s="73"/>
      <c r="BQ6" s="73"/>
      <c r="BR6" s="73" t="s">
        <v>72</v>
      </c>
      <c r="BS6" s="73"/>
      <c r="BT6" s="73"/>
      <c r="BU6" s="73"/>
      <c r="BV6" s="73"/>
    </row>
    <row r="7" spans="1:74" ht="60" x14ac:dyDescent="0.25">
      <c r="A7" s="46">
        <f t="shared" si="1"/>
        <v>4</v>
      </c>
      <c r="B7" s="46" t="s">
        <v>91</v>
      </c>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t="s">
        <v>87</v>
      </c>
      <c r="AH7" s="73" t="s">
        <v>88</v>
      </c>
      <c r="AI7" s="73"/>
      <c r="AJ7" s="73"/>
      <c r="AK7" s="73"/>
      <c r="AL7" s="73"/>
      <c r="AM7" s="73"/>
      <c r="AN7" s="73"/>
      <c r="AO7" s="73"/>
      <c r="AP7" s="73" t="s">
        <v>89</v>
      </c>
      <c r="AQ7" s="73"/>
      <c r="AR7" s="73"/>
      <c r="AS7" s="73"/>
      <c r="AT7" s="73"/>
      <c r="AU7" s="73"/>
      <c r="AV7" s="73"/>
      <c r="AW7" s="73"/>
      <c r="AX7" s="73"/>
      <c r="AY7" s="73"/>
      <c r="AZ7" s="73"/>
      <c r="BA7" s="73"/>
      <c r="BB7" s="73"/>
      <c r="BC7" s="73"/>
      <c r="BD7" s="73"/>
      <c r="BE7" s="73"/>
      <c r="BF7" s="73"/>
      <c r="BG7" s="73"/>
      <c r="BH7" s="73"/>
      <c r="BI7" s="73"/>
      <c r="BJ7" s="73"/>
      <c r="BK7" s="73"/>
      <c r="BL7" s="73"/>
      <c r="BM7" s="73"/>
      <c r="BN7" s="73"/>
      <c r="BO7" s="73"/>
      <c r="BP7" s="73"/>
      <c r="BQ7" s="73"/>
      <c r="BR7" s="73"/>
      <c r="BS7" s="107" t="s">
        <v>90</v>
      </c>
      <c r="BT7" s="107"/>
      <c r="BU7" s="73"/>
      <c r="BV7" s="73"/>
    </row>
    <row r="8" spans="1:74" ht="150" x14ac:dyDescent="0.25">
      <c r="A8" s="46">
        <f t="shared" si="1"/>
        <v>5</v>
      </c>
      <c r="B8" s="46" t="s">
        <v>4</v>
      </c>
      <c r="C8" s="73"/>
      <c r="D8" s="73"/>
      <c r="E8" s="73"/>
      <c r="F8" s="73"/>
      <c r="G8" s="107" t="s">
        <v>94</v>
      </c>
      <c r="H8" s="107"/>
      <c r="I8" s="107"/>
      <c r="J8" s="107"/>
      <c r="K8" s="73"/>
      <c r="L8" s="107" t="s">
        <v>95</v>
      </c>
      <c r="M8" s="107"/>
      <c r="N8" s="107"/>
      <c r="O8" s="107"/>
      <c r="P8" s="73"/>
      <c r="Q8" s="73"/>
      <c r="R8" s="73" t="s">
        <v>96</v>
      </c>
      <c r="S8" s="73" t="s">
        <v>97</v>
      </c>
      <c r="T8" s="73"/>
      <c r="U8" s="73" t="s">
        <v>98</v>
      </c>
      <c r="V8" s="73"/>
      <c r="W8" s="73" t="s">
        <v>99</v>
      </c>
      <c r="X8" s="73"/>
      <c r="Y8" s="73"/>
      <c r="Z8" s="73" t="s">
        <v>100</v>
      </c>
      <c r="AA8" s="73"/>
      <c r="AB8" s="73"/>
      <c r="AC8" s="73" t="s">
        <v>101</v>
      </c>
      <c r="AD8" s="73"/>
      <c r="AE8" s="73"/>
      <c r="AF8" s="73"/>
      <c r="AG8" s="73" t="s">
        <v>102</v>
      </c>
      <c r="AH8" s="73"/>
      <c r="AI8" s="73"/>
      <c r="AJ8" s="73" t="s">
        <v>103</v>
      </c>
      <c r="AK8" s="73"/>
      <c r="AL8" s="107" t="s">
        <v>104</v>
      </c>
      <c r="AM8" s="107"/>
      <c r="AN8" s="107"/>
      <c r="AO8" s="107"/>
      <c r="AP8" s="107"/>
      <c r="AQ8" s="107"/>
      <c r="AR8" s="107"/>
      <c r="AS8" s="107"/>
      <c r="AT8" s="107"/>
      <c r="AU8" s="107"/>
      <c r="AV8" s="107"/>
      <c r="AW8" s="107" t="s">
        <v>105</v>
      </c>
      <c r="AX8" s="107"/>
      <c r="AY8" s="107"/>
      <c r="AZ8" s="107"/>
      <c r="BA8" s="73"/>
      <c r="BB8" s="107" t="s">
        <v>106</v>
      </c>
      <c r="BC8" s="107"/>
      <c r="BD8" s="107"/>
      <c r="BE8" s="107"/>
      <c r="BF8" s="107"/>
      <c r="BG8" s="107"/>
      <c r="BH8" s="107" t="s">
        <v>107</v>
      </c>
      <c r="BI8" s="107"/>
      <c r="BJ8" s="107"/>
      <c r="BK8" s="73"/>
      <c r="BL8" s="107" t="s">
        <v>108</v>
      </c>
      <c r="BM8" s="107"/>
      <c r="BN8" s="73"/>
      <c r="BO8" s="107" t="s">
        <v>109</v>
      </c>
      <c r="BP8" s="107"/>
      <c r="BQ8" s="107"/>
      <c r="BR8" s="107"/>
      <c r="BS8" s="107"/>
      <c r="BT8" s="107"/>
      <c r="BU8" s="107"/>
      <c r="BV8" s="107"/>
    </row>
    <row r="9" spans="1:74" ht="30" x14ac:dyDescent="0.25">
      <c r="A9" s="46">
        <f t="shared" si="1"/>
        <v>6</v>
      </c>
      <c r="B9" s="46" t="s">
        <v>5</v>
      </c>
      <c r="C9" s="73" t="s">
        <v>114</v>
      </c>
      <c r="D9" s="73"/>
      <c r="E9" s="73"/>
      <c r="F9" s="73" t="s">
        <v>115</v>
      </c>
      <c r="G9" s="73"/>
      <c r="H9" s="107" t="s">
        <v>116</v>
      </c>
      <c r="I9" s="107"/>
      <c r="J9" s="107"/>
      <c r="K9" s="107"/>
      <c r="L9" s="107"/>
      <c r="M9" s="107"/>
      <c r="N9" s="107"/>
      <c r="O9" s="107"/>
      <c r="P9" s="73"/>
      <c r="Q9" s="73" t="s">
        <v>117</v>
      </c>
      <c r="R9" s="107" t="s">
        <v>118</v>
      </c>
      <c r="S9" s="107"/>
      <c r="T9" s="73"/>
      <c r="U9" s="107" t="s">
        <v>119</v>
      </c>
      <c r="V9" s="107"/>
      <c r="W9" s="107"/>
      <c r="X9" s="107"/>
      <c r="Y9" s="73"/>
      <c r="Z9" s="73" t="s">
        <v>120</v>
      </c>
      <c r="AA9" s="73"/>
      <c r="AB9" s="107" t="s">
        <v>121</v>
      </c>
      <c r="AC9" s="107"/>
      <c r="AD9" s="107"/>
      <c r="AE9" s="107"/>
      <c r="AF9" s="107"/>
      <c r="AG9" s="107"/>
      <c r="AH9" s="107"/>
      <c r="AI9" s="73"/>
      <c r="AJ9" s="73" t="s">
        <v>122</v>
      </c>
      <c r="AK9" s="73" t="s">
        <v>123</v>
      </c>
      <c r="AL9" s="73" t="s">
        <v>124</v>
      </c>
      <c r="AM9" s="73" t="s">
        <v>125</v>
      </c>
      <c r="AN9" s="73"/>
      <c r="AO9" s="73"/>
      <c r="AP9" s="107" t="s">
        <v>126</v>
      </c>
      <c r="AQ9" s="107"/>
      <c r="AR9" s="73"/>
      <c r="AS9" s="107" t="s">
        <v>127</v>
      </c>
      <c r="AT9" s="107"/>
      <c r="AU9" s="107"/>
      <c r="AV9" s="107"/>
      <c r="AW9" s="107"/>
      <c r="AX9" s="107"/>
      <c r="AY9" s="107"/>
      <c r="AZ9" s="107"/>
      <c r="BA9" s="73"/>
      <c r="BB9" s="108" t="s">
        <v>480</v>
      </c>
      <c r="BC9" s="109"/>
      <c r="BD9" s="109"/>
      <c r="BE9" s="109"/>
      <c r="BF9" s="110"/>
      <c r="BG9" s="73" t="s">
        <v>481</v>
      </c>
      <c r="BH9" s="108" t="s">
        <v>482</v>
      </c>
      <c r="BI9" s="109"/>
      <c r="BJ9" s="110"/>
      <c r="BK9" s="73"/>
      <c r="BL9" s="73" t="s">
        <v>128</v>
      </c>
      <c r="BM9" s="73" t="s">
        <v>129</v>
      </c>
      <c r="BN9" s="73"/>
      <c r="BO9" s="73"/>
      <c r="BP9" s="108" t="s">
        <v>489</v>
      </c>
      <c r="BQ9" s="109"/>
      <c r="BR9" s="109"/>
      <c r="BS9" s="109"/>
      <c r="BT9" s="110"/>
      <c r="BU9" s="108" t="s">
        <v>490</v>
      </c>
      <c r="BV9" s="110"/>
    </row>
    <row r="10" spans="1:74" ht="75" x14ac:dyDescent="0.25">
      <c r="A10" s="46">
        <f t="shared" si="1"/>
        <v>7</v>
      </c>
      <c r="B10" s="46" t="s">
        <v>6</v>
      </c>
      <c r="C10" s="73"/>
      <c r="D10" s="73"/>
      <c r="E10" s="73" t="s">
        <v>134</v>
      </c>
      <c r="F10" s="73"/>
      <c r="G10" s="73"/>
      <c r="H10" s="73"/>
      <c r="I10" s="73"/>
      <c r="J10" s="73"/>
      <c r="K10" s="73"/>
      <c r="L10" s="73"/>
      <c r="M10" s="73"/>
      <c r="N10" s="73"/>
      <c r="O10" s="73" t="s">
        <v>446</v>
      </c>
      <c r="P10" s="73" t="s">
        <v>135</v>
      </c>
      <c r="Q10" s="73"/>
      <c r="R10" s="73"/>
      <c r="S10" s="73"/>
      <c r="T10" s="73"/>
      <c r="U10" s="73"/>
      <c r="V10" s="73"/>
      <c r="W10" s="73"/>
      <c r="X10" s="73"/>
      <c r="Y10" s="73"/>
      <c r="Z10" s="73"/>
      <c r="AA10" s="107" t="s">
        <v>136</v>
      </c>
      <c r="AB10" s="107"/>
      <c r="AC10" s="73"/>
      <c r="AD10" s="73" t="s">
        <v>137</v>
      </c>
      <c r="AE10" s="107" t="s">
        <v>138</v>
      </c>
      <c r="AF10" s="107"/>
      <c r="AG10" s="73"/>
      <c r="AH10" s="73" t="s">
        <v>139</v>
      </c>
      <c r="AI10" s="73"/>
      <c r="AJ10" s="73" t="s">
        <v>140</v>
      </c>
      <c r="AK10" s="73"/>
      <c r="AL10" s="73" t="s">
        <v>122</v>
      </c>
      <c r="AM10" s="73"/>
      <c r="AN10" s="73"/>
      <c r="AO10" s="73"/>
      <c r="AP10" s="73" t="s">
        <v>141</v>
      </c>
      <c r="AQ10" s="73"/>
      <c r="AR10" s="73"/>
      <c r="AS10" s="73"/>
      <c r="AT10" s="73"/>
      <c r="AU10" s="73" t="s">
        <v>142</v>
      </c>
      <c r="AV10" s="73"/>
      <c r="AW10" s="73"/>
      <c r="AX10" s="73"/>
      <c r="AY10" s="73" t="s">
        <v>143</v>
      </c>
      <c r="AZ10" s="73"/>
      <c r="BA10" s="73"/>
      <c r="BB10" s="73"/>
      <c r="BC10" s="73"/>
      <c r="BD10" s="73"/>
      <c r="BE10" s="73" t="s">
        <v>144</v>
      </c>
      <c r="BF10" s="73"/>
      <c r="BG10" s="73"/>
      <c r="BH10" s="73"/>
      <c r="BI10" s="73"/>
      <c r="BJ10" s="73"/>
      <c r="BK10" s="73"/>
      <c r="BL10" s="73" t="s">
        <v>145</v>
      </c>
      <c r="BM10" s="73"/>
      <c r="BN10" s="73"/>
      <c r="BO10" s="73"/>
      <c r="BP10" s="73" t="s">
        <v>146</v>
      </c>
      <c r="BQ10" s="73"/>
      <c r="BR10" s="73"/>
      <c r="BS10" s="73" t="s">
        <v>147</v>
      </c>
      <c r="BT10" s="73" t="s">
        <v>148</v>
      </c>
      <c r="BU10" s="73"/>
      <c r="BV10" s="73"/>
    </row>
    <row r="11" spans="1:74" ht="75" x14ac:dyDescent="0.25">
      <c r="A11" s="46">
        <f t="shared" si="1"/>
        <v>8</v>
      </c>
      <c r="B11" s="46" t="s">
        <v>7</v>
      </c>
      <c r="C11" s="73" t="s">
        <v>154</v>
      </c>
      <c r="D11" s="73" t="s">
        <v>153</v>
      </c>
      <c r="E11" s="73" t="s">
        <v>155</v>
      </c>
      <c r="F11" s="73" t="s">
        <v>156</v>
      </c>
      <c r="G11" s="73" t="s">
        <v>157</v>
      </c>
      <c r="H11" s="73" t="s">
        <v>158</v>
      </c>
      <c r="I11" s="73" t="s">
        <v>159</v>
      </c>
      <c r="J11" s="73" t="s">
        <v>444</v>
      </c>
      <c r="K11" s="73" t="s">
        <v>160</v>
      </c>
      <c r="L11" s="73"/>
      <c r="M11" s="107" t="s">
        <v>445</v>
      </c>
      <c r="N11" s="107"/>
      <c r="O11" s="107"/>
      <c r="P11" s="73"/>
      <c r="Q11" s="107" t="s">
        <v>161</v>
      </c>
      <c r="R11" s="107"/>
      <c r="S11" s="107"/>
      <c r="T11" s="107"/>
      <c r="U11" s="107"/>
      <c r="V11" s="107"/>
      <c r="W11" s="107"/>
      <c r="X11" s="107"/>
      <c r="Y11" s="107"/>
      <c r="Z11" s="107"/>
      <c r="AA11" s="107"/>
      <c r="AB11" s="107" t="s">
        <v>162</v>
      </c>
      <c r="AC11" s="107"/>
      <c r="AD11" s="73" t="s">
        <v>163</v>
      </c>
      <c r="AE11" s="107" t="s">
        <v>164</v>
      </c>
      <c r="AF11" s="107"/>
      <c r="AG11" s="107" t="s">
        <v>165</v>
      </c>
      <c r="AH11" s="107"/>
      <c r="AI11" s="73"/>
      <c r="AJ11" s="73" t="s">
        <v>166</v>
      </c>
      <c r="AK11" s="73" t="s">
        <v>167</v>
      </c>
      <c r="AL11" s="73"/>
      <c r="AM11" s="73"/>
      <c r="AN11" s="73"/>
      <c r="AO11" s="73"/>
      <c r="AP11" s="107" t="s">
        <v>168</v>
      </c>
      <c r="AQ11" s="107"/>
      <c r="AR11" s="73"/>
      <c r="AS11" s="73"/>
      <c r="AT11" s="73"/>
      <c r="AU11" s="73"/>
      <c r="AV11" s="73"/>
      <c r="AW11" s="73"/>
      <c r="AX11" s="73"/>
      <c r="AY11" s="73"/>
      <c r="AZ11" s="73" t="s">
        <v>169</v>
      </c>
      <c r="BA11" s="73"/>
      <c r="BB11" s="73"/>
      <c r="BC11" s="73"/>
      <c r="BD11" s="73"/>
      <c r="BE11" s="73" t="s">
        <v>170</v>
      </c>
      <c r="BF11" s="73"/>
      <c r="BG11" s="73" t="s">
        <v>172</v>
      </c>
      <c r="BH11" s="73" t="s">
        <v>171</v>
      </c>
      <c r="BI11" s="73"/>
      <c r="BJ11" s="73"/>
      <c r="BK11" s="73"/>
      <c r="BL11" s="73"/>
      <c r="BM11" s="107" t="s">
        <v>173</v>
      </c>
      <c r="BN11" s="107"/>
      <c r="BO11" s="107"/>
      <c r="BP11" s="107"/>
      <c r="BQ11" s="107"/>
      <c r="BR11" s="107"/>
      <c r="BS11" s="73" t="s">
        <v>174</v>
      </c>
      <c r="BT11" s="73" t="s">
        <v>175</v>
      </c>
      <c r="BU11" s="107" t="s">
        <v>176</v>
      </c>
      <c r="BV11" s="107"/>
    </row>
    <row r="12" spans="1:74" ht="75" x14ac:dyDescent="0.25">
      <c r="A12" s="46">
        <f t="shared" si="1"/>
        <v>9</v>
      </c>
      <c r="B12" s="46" t="s">
        <v>8</v>
      </c>
      <c r="C12" s="73"/>
      <c r="D12" s="73"/>
      <c r="E12" s="73"/>
      <c r="F12" s="73"/>
      <c r="G12" s="73"/>
      <c r="H12" s="73"/>
      <c r="I12" s="73"/>
      <c r="J12" s="73"/>
      <c r="K12" s="73"/>
      <c r="L12" s="73" t="s">
        <v>181</v>
      </c>
      <c r="M12" s="73"/>
      <c r="N12" s="73"/>
      <c r="O12" s="73"/>
      <c r="P12" s="73"/>
      <c r="Q12" s="73"/>
      <c r="R12" s="73" t="s">
        <v>182</v>
      </c>
      <c r="S12" s="73"/>
      <c r="T12" s="73"/>
      <c r="U12" s="73" t="s">
        <v>183</v>
      </c>
      <c r="V12" s="73"/>
      <c r="W12" s="73"/>
      <c r="X12" s="73"/>
      <c r="Y12" s="73"/>
      <c r="Z12" s="73"/>
      <c r="AA12" s="73"/>
      <c r="AB12" s="73"/>
      <c r="AC12" s="73"/>
      <c r="AD12" s="73"/>
      <c r="AE12" s="73"/>
      <c r="AF12" s="73"/>
      <c r="AG12" s="73" t="s">
        <v>184</v>
      </c>
      <c r="AH12" s="73"/>
      <c r="AI12" s="73"/>
      <c r="AJ12" s="73"/>
      <c r="AK12" s="73"/>
      <c r="AL12" s="73"/>
      <c r="AM12" s="73"/>
      <c r="AN12" s="73"/>
      <c r="AO12" s="73"/>
      <c r="AP12" s="73"/>
      <c r="AQ12" s="73"/>
      <c r="AR12" s="73"/>
      <c r="AS12" s="73"/>
      <c r="AT12" s="73"/>
      <c r="AU12" s="73"/>
      <c r="AV12" s="73"/>
      <c r="AW12" s="73"/>
      <c r="AX12" s="73"/>
      <c r="AY12" s="73"/>
      <c r="AZ12" s="73"/>
      <c r="BA12" s="73"/>
      <c r="BB12" s="73"/>
      <c r="BC12" s="73"/>
      <c r="BD12" s="73"/>
      <c r="BE12" s="73"/>
      <c r="BF12" s="73"/>
      <c r="BG12" s="73"/>
      <c r="BH12" s="73"/>
      <c r="BI12" s="73"/>
      <c r="BJ12" s="73"/>
      <c r="BK12" s="73"/>
      <c r="BL12" s="73"/>
      <c r="BM12" s="73"/>
      <c r="BN12" s="73"/>
      <c r="BO12" s="73"/>
      <c r="BP12" s="73"/>
      <c r="BQ12" s="73"/>
      <c r="BR12" s="73"/>
      <c r="BS12" s="73"/>
      <c r="BT12" s="73"/>
      <c r="BU12" s="73"/>
      <c r="BV12" s="73"/>
    </row>
    <row r="13" spans="1:74" ht="150" x14ac:dyDescent="0.25">
      <c r="A13" s="46">
        <f t="shared" si="1"/>
        <v>10</v>
      </c>
      <c r="B13" s="46" t="s">
        <v>9</v>
      </c>
      <c r="C13" s="73"/>
      <c r="D13" s="73"/>
      <c r="E13" s="73"/>
      <c r="F13" s="107" t="s">
        <v>189</v>
      </c>
      <c r="G13" s="107"/>
      <c r="H13" s="107"/>
      <c r="I13" s="73"/>
      <c r="J13" s="73"/>
      <c r="K13" s="73"/>
      <c r="L13" s="73"/>
      <c r="M13" s="73" t="s">
        <v>190</v>
      </c>
      <c r="N13" s="73" t="s">
        <v>191</v>
      </c>
      <c r="O13" s="73"/>
      <c r="P13" s="73"/>
      <c r="Q13" s="73"/>
      <c r="R13" s="107" t="s">
        <v>192</v>
      </c>
      <c r="S13" s="107"/>
      <c r="T13" s="73"/>
      <c r="U13" s="107" t="s">
        <v>193</v>
      </c>
      <c r="V13" s="107"/>
      <c r="W13" s="73"/>
      <c r="X13" s="73"/>
      <c r="Y13" s="107" t="s">
        <v>194</v>
      </c>
      <c r="Z13" s="107"/>
      <c r="AA13" s="107"/>
      <c r="AB13" s="107"/>
      <c r="AC13" s="73"/>
      <c r="AD13" s="73"/>
      <c r="AE13" s="107" t="s">
        <v>195</v>
      </c>
      <c r="AF13" s="107"/>
      <c r="AG13" s="107"/>
      <c r="AH13" s="107"/>
      <c r="AI13" s="73"/>
      <c r="AJ13" s="73" t="s">
        <v>196</v>
      </c>
      <c r="AK13" s="73"/>
      <c r="AL13" s="73" t="s">
        <v>197</v>
      </c>
      <c r="AM13" s="73" t="s">
        <v>198</v>
      </c>
      <c r="AN13" s="73"/>
      <c r="AO13" s="107" t="s">
        <v>199</v>
      </c>
      <c r="AP13" s="107"/>
      <c r="AQ13" s="73"/>
      <c r="AR13" s="73"/>
      <c r="AS13" s="73"/>
      <c r="AT13" s="73"/>
      <c r="AU13" s="73" t="s">
        <v>200</v>
      </c>
      <c r="AV13" s="73" t="s">
        <v>201</v>
      </c>
      <c r="AW13" s="73"/>
      <c r="AX13" s="73"/>
      <c r="AY13" s="73" t="s">
        <v>202</v>
      </c>
      <c r="AZ13" s="73" t="s">
        <v>203</v>
      </c>
      <c r="BA13" s="73"/>
      <c r="BB13" s="73" t="s">
        <v>204</v>
      </c>
      <c r="BC13" s="73" t="s">
        <v>205</v>
      </c>
      <c r="BD13" s="73" t="s">
        <v>206</v>
      </c>
      <c r="BE13" s="107" t="s">
        <v>207</v>
      </c>
      <c r="BF13" s="107"/>
      <c r="BG13" s="73" t="s">
        <v>208</v>
      </c>
      <c r="BH13" s="73" t="s">
        <v>209</v>
      </c>
      <c r="BI13" s="73"/>
      <c r="BJ13" s="73" t="s">
        <v>210</v>
      </c>
      <c r="BK13" s="73" t="s">
        <v>211</v>
      </c>
      <c r="BL13" s="73" t="s">
        <v>212</v>
      </c>
      <c r="BM13" s="73" t="s">
        <v>213</v>
      </c>
      <c r="BN13" s="73"/>
      <c r="BO13" s="107" t="s">
        <v>214</v>
      </c>
      <c r="BP13" s="107"/>
      <c r="BQ13" s="107"/>
      <c r="BR13" s="107"/>
      <c r="BS13" s="107"/>
      <c r="BT13" s="73" t="s">
        <v>215</v>
      </c>
      <c r="BU13" s="107" t="s">
        <v>216</v>
      </c>
      <c r="BV13" s="107"/>
    </row>
    <row r="14" spans="1:74" ht="45" x14ac:dyDescent="0.25">
      <c r="A14" s="46">
        <f t="shared" si="1"/>
        <v>11</v>
      </c>
      <c r="B14" s="46" t="s">
        <v>10</v>
      </c>
      <c r="C14" s="73"/>
      <c r="D14" s="73" t="s">
        <v>224</v>
      </c>
      <c r="E14" s="73"/>
      <c r="F14" s="107" t="s">
        <v>468</v>
      </c>
      <c r="G14" s="107"/>
      <c r="H14" s="107"/>
      <c r="I14" s="107"/>
      <c r="J14" s="107"/>
      <c r="K14" s="107"/>
      <c r="L14" s="107"/>
      <c r="M14" s="107"/>
      <c r="N14" s="107"/>
      <c r="O14" s="107"/>
      <c r="P14" s="107"/>
      <c r="Q14" s="107"/>
      <c r="R14" s="107"/>
      <c r="S14" s="107"/>
      <c r="T14" s="107"/>
      <c r="U14" s="107"/>
      <c r="V14" s="107"/>
      <c r="W14" s="107"/>
      <c r="X14" s="107"/>
      <c r="Y14" s="107"/>
      <c r="Z14" s="107"/>
      <c r="AA14" s="107"/>
      <c r="AB14" s="107"/>
      <c r="AC14" s="73" t="s">
        <v>227</v>
      </c>
      <c r="AD14" s="107" t="s">
        <v>228</v>
      </c>
      <c r="AE14" s="107"/>
      <c r="AF14" s="107"/>
      <c r="AG14" s="107"/>
      <c r="AH14" s="107"/>
      <c r="AI14" s="108" t="s">
        <v>492</v>
      </c>
      <c r="AJ14" s="109"/>
      <c r="AK14" s="109"/>
      <c r="AL14" s="109"/>
      <c r="AM14" s="109"/>
      <c r="AN14" s="109"/>
      <c r="AO14" s="109"/>
      <c r="AP14" s="109"/>
      <c r="AQ14" s="109"/>
      <c r="AR14" s="109"/>
      <c r="AS14" s="109"/>
      <c r="AT14" s="109"/>
      <c r="AU14" s="109"/>
      <c r="AV14" s="109"/>
      <c r="AW14" s="109"/>
      <c r="AX14" s="109"/>
      <c r="AY14" s="109"/>
      <c r="AZ14" s="109"/>
      <c r="BA14" s="109"/>
      <c r="BB14" s="109"/>
      <c r="BC14" s="109"/>
      <c r="BD14" s="109"/>
      <c r="BE14" s="109"/>
      <c r="BF14" s="109"/>
      <c r="BG14" s="109"/>
      <c r="BH14" s="109"/>
      <c r="BI14" s="109"/>
      <c r="BJ14" s="109"/>
      <c r="BK14" s="110"/>
      <c r="BL14" s="108" t="s">
        <v>493</v>
      </c>
      <c r="BM14" s="109"/>
      <c r="BN14" s="109"/>
      <c r="BO14" s="110"/>
      <c r="BP14" s="108" t="s">
        <v>491</v>
      </c>
      <c r="BQ14" s="109"/>
      <c r="BR14" s="109"/>
      <c r="BS14" s="110"/>
      <c r="BT14" s="73" t="s">
        <v>229</v>
      </c>
      <c r="BU14" s="107" t="s">
        <v>230</v>
      </c>
      <c r="BV14" s="107"/>
    </row>
    <row r="15" spans="1:74" ht="90" x14ac:dyDescent="0.25">
      <c r="A15" s="46">
        <f t="shared" si="1"/>
        <v>12</v>
      </c>
      <c r="B15" s="46" t="s">
        <v>11</v>
      </c>
      <c r="C15" s="73"/>
      <c r="D15" s="73"/>
      <c r="E15" s="73"/>
      <c r="F15" s="73" t="s">
        <v>231</v>
      </c>
      <c r="G15" s="73"/>
      <c r="H15" s="73"/>
      <c r="I15" s="73"/>
      <c r="J15" s="73"/>
      <c r="K15" s="107" t="s">
        <v>259</v>
      </c>
      <c r="L15" s="107"/>
      <c r="M15" s="73"/>
      <c r="N15" s="73"/>
      <c r="O15" s="73"/>
      <c r="P15" s="73"/>
      <c r="Q15" s="73"/>
      <c r="R15" s="73" t="s">
        <v>232</v>
      </c>
      <c r="S15" s="73"/>
      <c r="T15" s="73"/>
      <c r="U15" s="73"/>
      <c r="V15" s="73"/>
      <c r="W15" s="73"/>
      <c r="X15" s="73"/>
      <c r="Y15" s="73"/>
      <c r="Z15" s="73"/>
      <c r="AA15" s="73"/>
      <c r="AB15" s="73"/>
      <c r="AC15" s="73"/>
      <c r="AD15" s="73"/>
      <c r="AE15" s="73"/>
      <c r="AF15" s="73"/>
      <c r="AG15" s="73"/>
      <c r="AH15" s="73"/>
      <c r="AI15" s="73"/>
      <c r="AJ15" s="73"/>
      <c r="AK15" s="107" t="s">
        <v>233</v>
      </c>
      <c r="AL15" s="107"/>
      <c r="AM15" s="73"/>
      <c r="AN15" s="73"/>
      <c r="AO15" s="73"/>
      <c r="AP15" s="73" t="s">
        <v>234</v>
      </c>
      <c r="AQ15" s="73"/>
      <c r="AR15" s="73"/>
      <c r="AS15" s="73"/>
      <c r="AT15" s="107" t="s">
        <v>235</v>
      </c>
      <c r="AU15" s="107"/>
      <c r="AV15" s="73"/>
      <c r="AW15" s="73"/>
      <c r="AX15" s="73"/>
      <c r="AY15" s="73"/>
      <c r="AZ15" s="73"/>
      <c r="BA15" s="73"/>
      <c r="BB15" s="73" t="s">
        <v>236</v>
      </c>
      <c r="BC15" s="73"/>
      <c r="BD15" s="73"/>
      <c r="BE15" s="73"/>
      <c r="BF15" s="73"/>
      <c r="BG15" s="73"/>
      <c r="BH15" s="73" t="s">
        <v>237</v>
      </c>
      <c r="BI15" s="73"/>
      <c r="BJ15" s="73"/>
      <c r="BK15" s="73"/>
      <c r="BL15" s="73"/>
      <c r="BM15" s="73"/>
      <c r="BN15" s="73"/>
      <c r="BO15" s="73"/>
      <c r="BP15" s="107" t="s">
        <v>485</v>
      </c>
      <c r="BQ15" s="107"/>
      <c r="BR15" s="73"/>
      <c r="BS15" s="73"/>
      <c r="BT15" s="73" t="s">
        <v>238</v>
      </c>
      <c r="BU15" s="73"/>
      <c r="BV15" s="73" t="s">
        <v>239</v>
      </c>
    </row>
    <row r="16" spans="1:74" ht="75" x14ac:dyDescent="0.25">
      <c r="A16" s="46">
        <f t="shared" si="1"/>
        <v>13</v>
      </c>
      <c r="B16" s="46" t="s">
        <v>12</v>
      </c>
      <c r="C16" s="73"/>
      <c r="D16" s="73"/>
      <c r="E16" s="73"/>
      <c r="F16" s="73"/>
      <c r="G16" s="73"/>
      <c r="H16" s="73"/>
      <c r="I16" s="73"/>
      <c r="J16" s="73"/>
      <c r="K16" s="73" t="s">
        <v>257</v>
      </c>
      <c r="L16" s="73" t="s">
        <v>258</v>
      </c>
      <c r="M16" s="73"/>
      <c r="N16" s="73" t="s">
        <v>260</v>
      </c>
      <c r="O16" s="73"/>
      <c r="P16" s="73"/>
      <c r="Q16" s="73"/>
      <c r="R16" s="73" t="s">
        <v>261</v>
      </c>
      <c r="S16" s="73"/>
      <c r="T16" s="73" t="s">
        <v>262</v>
      </c>
      <c r="U16" s="73" t="s">
        <v>263</v>
      </c>
      <c r="V16" s="73"/>
      <c r="W16" s="73"/>
      <c r="X16" s="73"/>
      <c r="Y16" s="73"/>
      <c r="Z16" s="73"/>
      <c r="AA16" s="73" t="s">
        <v>264</v>
      </c>
      <c r="AB16" s="73"/>
      <c r="AC16" s="73"/>
      <c r="AD16" s="73"/>
      <c r="AE16" s="73"/>
      <c r="AF16" s="73" t="s">
        <v>265</v>
      </c>
      <c r="AG16" s="73"/>
      <c r="AH16" s="73"/>
      <c r="AI16" s="73"/>
      <c r="AJ16" s="73"/>
      <c r="AK16" s="73"/>
      <c r="AL16" s="73"/>
      <c r="AM16" s="73" t="s">
        <v>266</v>
      </c>
      <c r="AN16" s="73"/>
      <c r="AO16" s="73"/>
      <c r="AP16" s="107" t="s">
        <v>267</v>
      </c>
      <c r="AQ16" s="107"/>
      <c r="AR16" s="73"/>
      <c r="AS16" s="73"/>
      <c r="AT16" s="73"/>
      <c r="AU16" s="73"/>
      <c r="AV16" s="73"/>
      <c r="AW16" s="73"/>
      <c r="AX16" s="73"/>
      <c r="AY16" s="73"/>
      <c r="AZ16" s="73"/>
      <c r="BA16" s="73"/>
      <c r="BB16" s="73" t="s">
        <v>268</v>
      </c>
      <c r="BC16" s="73" t="s">
        <v>484</v>
      </c>
      <c r="BD16" s="73"/>
      <c r="BE16" s="73"/>
      <c r="BF16" s="73"/>
      <c r="BG16" s="73" t="s">
        <v>269</v>
      </c>
      <c r="BH16" s="73" t="s">
        <v>270</v>
      </c>
      <c r="BI16" s="73"/>
      <c r="BJ16" s="73"/>
      <c r="BK16" s="73" t="s">
        <v>271</v>
      </c>
      <c r="BL16" s="73" t="s">
        <v>272</v>
      </c>
      <c r="BM16" s="73"/>
      <c r="BN16" s="73"/>
      <c r="BO16" s="73"/>
      <c r="BP16" s="107" t="s">
        <v>273</v>
      </c>
      <c r="BQ16" s="107"/>
      <c r="BR16" s="73"/>
      <c r="BS16" s="73"/>
      <c r="BT16" s="73"/>
      <c r="BU16" s="73"/>
      <c r="BV16" s="73"/>
    </row>
    <row r="17" spans="1:74" ht="90" x14ac:dyDescent="0.25">
      <c r="A17" s="46">
        <f t="shared" si="1"/>
        <v>14</v>
      </c>
      <c r="B17" s="46" t="s">
        <v>13</v>
      </c>
      <c r="C17" s="73" t="s">
        <v>280</v>
      </c>
      <c r="D17" s="73"/>
      <c r="E17" s="73"/>
      <c r="F17" s="107" t="s">
        <v>281</v>
      </c>
      <c r="G17" s="107"/>
      <c r="H17" s="107"/>
      <c r="I17" s="73"/>
      <c r="J17" s="107" t="s">
        <v>282</v>
      </c>
      <c r="K17" s="107"/>
      <c r="L17" s="107"/>
      <c r="M17" s="107"/>
      <c r="N17" s="107"/>
      <c r="O17" s="107"/>
      <c r="P17" s="107" t="s">
        <v>283</v>
      </c>
      <c r="Q17" s="107"/>
      <c r="R17" s="73" t="s">
        <v>284</v>
      </c>
      <c r="S17" s="73" t="s">
        <v>286</v>
      </c>
      <c r="T17" s="73" t="s">
        <v>285</v>
      </c>
      <c r="U17" s="107" t="s">
        <v>288</v>
      </c>
      <c r="V17" s="107"/>
      <c r="W17" s="107" t="s">
        <v>287</v>
      </c>
      <c r="X17" s="107"/>
      <c r="Y17" s="73"/>
      <c r="Z17" s="107" t="s">
        <v>289</v>
      </c>
      <c r="AA17" s="107"/>
      <c r="AB17" s="73"/>
      <c r="AC17" s="73" t="s">
        <v>290</v>
      </c>
      <c r="AD17" s="73"/>
      <c r="AE17" s="73"/>
      <c r="AF17" s="73"/>
      <c r="AG17" s="73"/>
      <c r="AH17" s="73"/>
      <c r="AI17" s="73"/>
      <c r="AJ17" s="73"/>
      <c r="AK17" s="73" t="s">
        <v>291</v>
      </c>
      <c r="AL17" s="73"/>
      <c r="AM17" s="73"/>
      <c r="AN17" s="73"/>
      <c r="AO17" s="107" t="s">
        <v>297</v>
      </c>
      <c r="AP17" s="107"/>
      <c r="AQ17" s="107"/>
      <c r="AR17" s="107" t="s">
        <v>294</v>
      </c>
      <c r="AS17" s="107"/>
      <c r="AT17" s="107"/>
      <c r="AU17" s="107"/>
      <c r="AV17" s="107"/>
      <c r="AW17" s="107" t="s">
        <v>292</v>
      </c>
      <c r="AX17" s="107"/>
      <c r="AY17" s="107"/>
      <c r="AZ17" s="73" t="s">
        <v>293</v>
      </c>
      <c r="BA17" s="73"/>
      <c r="BB17" s="73" t="s">
        <v>295</v>
      </c>
      <c r="BC17" s="73"/>
      <c r="BD17" s="73"/>
      <c r="BE17" s="73"/>
      <c r="BF17" s="73"/>
      <c r="BG17" s="73" t="s">
        <v>296</v>
      </c>
      <c r="BH17" s="73" t="s">
        <v>298</v>
      </c>
      <c r="BI17" s="73" t="s">
        <v>299</v>
      </c>
      <c r="BJ17" s="73"/>
      <c r="BK17" s="107" t="s">
        <v>300</v>
      </c>
      <c r="BL17" s="107"/>
      <c r="BM17" s="73" t="s">
        <v>301</v>
      </c>
      <c r="BN17" s="73"/>
      <c r="BO17" s="73"/>
      <c r="BP17" s="107" t="s">
        <v>303</v>
      </c>
      <c r="BQ17" s="107"/>
      <c r="BR17" s="107"/>
      <c r="BS17" s="107"/>
      <c r="BT17" s="107"/>
      <c r="BU17" s="107" t="s">
        <v>302</v>
      </c>
      <c r="BV17" s="107"/>
    </row>
    <row r="18" spans="1:74" ht="105" x14ac:dyDescent="0.25">
      <c r="A18" s="46">
        <f t="shared" si="1"/>
        <v>15</v>
      </c>
      <c r="B18" s="46" t="s">
        <v>14</v>
      </c>
      <c r="C18" s="73" t="s">
        <v>309</v>
      </c>
      <c r="D18" s="73"/>
      <c r="E18" s="73"/>
      <c r="F18" s="107" t="s">
        <v>310</v>
      </c>
      <c r="G18" s="107"/>
      <c r="H18" s="73"/>
      <c r="I18" s="73"/>
      <c r="J18" s="73" t="s">
        <v>311</v>
      </c>
      <c r="K18" s="73"/>
      <c r="L18" s="107" t="s">
        <v>312</v>
      </c>
      <c r="M18" s="107"/>
      <c r="N18" s="107"/>
      <c r="O18" s="107"/>
      <c r="P18" s="107"/>
      <c r="Q18" s="73"/>
      <c r="R18" s="107" t="s">
        <v>313</v>
      </c>
      <c r="S18" s="107"/>
      <c r="T18" s="107" t="s">
        <v>314</v>
      </c>
      <c r="U18" s="107"/>
      <c r="V18" s="73"/>
      <c r="W18" s="73" t="s">
        <v>315</v>
      </c>
      <c r="X18" s="73"/>
      <c r="Y18" s="73"/>
      <c r="Z18" s="73"/>
      <c r="AA18" s="73" t="s">
        <v>316</v>
      </c>
      <c r="AB18" s="73"/>
      <c r="AC18" s="73"/>
      <c r="AD18" s="73"/>
      <c r="AE18" s="73"/>
      <c r="AF18" s="73" t="s">
        <v>317</v>
      </c>
      <c r="AG18" s="107" t="s">
        <v>318</v>
      </c>
      <c r="AH18" s="107"/>
      <c r="AI18" s="73"/>
      <c r="AJ18" s="73"/>
      <c r="AK18" s="73"/>
      <c r="AL18" s="73"/>
      <c r="AM18" s="73" t="s">
        <v>319</v>
      </c>
      <c r="AN18" s="73"/>
      <c r="AO18" s="73"/>
      <c r="AP18" s="73" t="s">
        <v>320</v>
      </c>
      <c r="AQ18" s="73"/>
      <c r="AR18" s="73"/>
      <c r="AS18" s="73"/>
      <c r="AT18" s="73" t="s">
        <v>321</v>
      </c>
      <c r="AU18" s="73" t="s">
        <v>322</v>
      </c>
      <c r="AV18" s="73" t="s">
        <v>323</v>
      </c>
      <c r="AW18" s="73"/>
      <c r="AX18" s="73"/>
      <c r="AY18" s="73"/>
      <c r="AZ18" s="73"/>
      <c r="BA18" s="73"/>
      <c r="BB18" s="73"/>
      <c r="BC18" s="73"/>
      <c r="BD18" s="73"/>
      <c r="BE18" s="73"/>
      <c r="BF18" s="73"/>
      <c r="BG18" s="73"/>
      <c r="BH18" s="73" t="s">
        <v>324</v>
      </c>
      <c r="BI18" s="73" t="s">
        <v>325</v>
      </c>
      <c r="BJ18" s="73"/>
      <c r="BK18" s="73"/>
      <c r="BL18" s="73" t="s">
        <v>326</v>
      </c>
      <c r="BM18" s="73" t="s">
        <v>327</v>
      </c>
      <c r="BN18" s="73"/>
      <c r="BO18" s="73"/>
      <c r="BP18" s="73" t="s">
        <v>328</v>
      </c>
      <c r="BQ18" s="107" t="s">
        <v>329</v>
      </c>
      <c r="BR18" s="107"/>
      <c r="BS18" s="73"/>
      <c r="BT18" s="73" t="s">
        <v>330</v>
      </c>
      <c r="BU18" s="73" t="s">
        <v>336</v>
      </c>
      <c r="BV18" s="73" t="s">
        <v>331</v>
      </c>
    </row>
    <row r="19" spans="1:74" ht="120" x14ac:dyDescent="0.25">
      <c r="A19" s="46">
        <f t="shared" si="1"/>
        <v>16</v>
      </c>
      <c r="B19" s="46" t="s">
        <v>498</v>
      </c>
      <c r="C19" s="73"/>
      <c r="D19" s="73"/>
      <c r="E19" s="73"/>
      <c r="F19" s="107" t="s">
        <v>530</v>
      </c>
      <c r="G19" s="107"/>
      <c r="H19" s="107"/>
      <c r="I19" s="107"/>
      <c r="J19" s="73"/>
      <c r="K19" s="73"/>
      <c r="L19" s="107" t="s">
        <v>531</v>
      </c>
      <c r="M19" s="107"/>
      <c r="N19" s="107"/>
      <c r="O19" s="107"/>
      <c r="P19" s="73"/>
      <c r="Q19" s="107" t="s">
        <v>532</v>
      </c>
      <c r="R19" s="107"/>
      <c r="S19" s="107"/>
      <c r="T19" s="107"/>
      <c r="U19" s="107"/>
      <c r="V19" s="73"/>
      <c r="W19" s="107" t="s">
        <v>533</v>
      </c>
      <c r="X19" s="107"/>
      <c r="Y19" s="107"/>
      <c r="Z19" s="73"/>
      <c r="AA19" s="73" t="s">
        <v>534</v>
      </c>
      <c r="AB19" s="73"/>
      <c r="AC19" s="73"/>
      <c r="AD19" s="73" t="s">
        <v>535</v>
      </c>
      <c r="AE19" s="73"/>
      <c r="AF19" s="73" t="s">
        <v>536</v>
      </c>
      <c r="AG19" s="73"/>
      <c r="AH19" s="73" t="s">
        <v>537</v>
      </c>
      <c r="AI19" s="73"/>
      <c r="AJ19" s="73" t="s">
        <v>538</v>
      </c>
      <c r="AK19" s="73"/>
      <c r="AL19" s="107" t="s">
        <v>539</v>
      </c>
      <c r="AM19" s="107"/>
      <c r="AN19" s="73"/>
      <c r="AO19" s="73"/>
      <c r="AP19" s="73"/>
      <c r="AQ19" s="107" t="s">
        <v>540</v>
      </c>
      <c r="AR19" s="107"/>
      <c r="AS19" s="107"/>
      <c r="AT19" s="107"/>
      <c r="AU19" s="107"/>
      <c r="AV19" s="107"/>
      <c r="AW19" s="107"/>
      <c r="AX19" s="73"/>
      <c r="AY19" s="73"/>
      <c r="AZ19" s="73"/>
      <c r="BA19" s="73"/>
      <c r="BB19" s="73" t="s">
        <v>541</v>
      </c>
      <c r="BC19" s="73"/>
      <c r="BD19" s="73"/>
      <c r="BE19" s="73" t="s">
        <v>542</v>
      </c>
      <c r="BF19" s="73"/>
      <c r="BG19" s="73" t="s">
        <v>543</v>
      </c>
      <c r="BH19" s="73" t="s">
        <v>544</v>
      </c>
      <c r="BI19" s="73"/>
      <c r="BJ19" s="73" t="s">
        <v>545</v>
      </c>
      <c r="BK19" s="73" t="s">
        <v>546</v>
      </c>
      <c r="BL19" s="73"/>
      <c r="BM19" s="73"/>
      <c r="BN19" s="73"/>
      <c r="BO19" s="73"/>
      <c r="BP19" s="73" t="s">
        <v>547</v>
      </c>
      <c r="BQ19" s="73"/>
      <c r="BR19" s="73"/>
      <c r="BS19" s="73"/>
      <c r="BT19" s="73"/>
      <c r="BU19" s="73"/>
      <c r="BV19" s="73"/>
    </row>
    <row r="20" spans="1:74" ht="90" x14ac:dyDescent="0.25">
      <c r="A20" s="46">
        <f t="shared" si="1"/>
        <v>17</v>
      </c>
      <c r="B20" s="46" t="s">
        <v>499</v>
      </c>
      <c r="C20" s="73"/>
      <c r="D20" s="73"/>
      <c r="E20" s="73"/>
      <c r="F20" s="73"/>
      <c r="G20" s="73" t="s">
        <v>548</v>
      </c>
      <c r="H20" s="73"/>
      <c r="I20" s="73"/>
      <c r="J20" s="73" t="s">
        <v>549</v>
      </c>
      <c r="K20" s="73" t="s">
        <v>550</v>
      </c>
      <c r="L20" s="73"/>
      <c r="M20" s="73" t="s">
        <v>551</v>
      </c>
      <c r="N20" s="73"/>
      <c r="O20" s="73" t="s">
        <v>552</v>
      </c>
      <c r="P20" s="73" t="s">
        <v>553</v>
      </c>
      <c r="Q20" s="73"/>
      <c r="R20" s="73"/>
      <c r="S20" s="73" t="s">
        <v>554</v>
      </c>
      <c r="T20" s="73" t="s">
        <v>555</v>
      </c>
      <c r="U20" s="108" t="s">
        <v>556</v>
      </c>
      <c r="V20" s="110"/>
      <c r="W20" s="73"/>
      <c r="X20" s="73"/>
      <c r="Y20" s="73"/>
      <c r="Z20" s="73"/>
      <c r="AA20" s="73"/>
      <c r="AB20" s="73"/>
      <c r="AC20" s="73" t="s">
        <v>557</v>
      </c>
      <c r="AD20" s="73"/>
      <c r="AE20" s="73"/>
      <c r="AF20" s="73"/>
      <c r="AG20" s="73" t="s">
        <v>558</v>
      </c>
      <c r="AH20" s="73"/>
      <c r="AI20" s="73"/>
      <c r="AJ20" s="73" t="s">
        <v>559</v>
      </c>
      <c r="AK20" s="73"/>
      <c r="AL20" s="73"/>
      <c r="AM20" s="73"/>
      <c r="AN20" s="73"/>
      <c r="AO20" s="73"/>
      <c r="AP20" s="73"/>
      <c r="AQ20" s="73"/>
      <c r="AR20" s="73"/>
      <c r="AS20" s="73"/>
      <c r="AT20" s="73" t="s">
        <v>560</v>
      </c>
      <c r="AU20" s="73"/>
      <c r="AV20" s="73" t="s">
        <v>561</v>
      </c>
      <c r="AW20" s="73"/>
      <c r="AX20" s="73"/>
      <c r="AY20" s="73"/>
      <c r="AZ20" s="73"/>
      <c r="BA20" s="73"/>
      <c r="BB20" s="73" t="s">
        <v>562</v>
      </c>
      <c r="BC20" s="73"/>
      <c r="BD20" s="73"/>
      <c r="BE20" s="73"/>
      <c r="BF20" s="73"/>
      <c r="BG20" s="73"/>
      <c r="BH20" s="73"/>
      <c r="BI20" s="73"/>
      <c r="BJ20" s="73"/>
      <c r="BK20" s="73"/>
      <c r="BL20" s="73"/>
      <c r="BM20" s="73"/>
      <c r="BN20" s="73"/>
      <c r="BO20" s="73"/>
      <c r="BP20" s="73"/>
      <c r="BQ20" s="73"/>
      <c r="BR20" s="73"/>
      <c r="BS20" s="73"/>
      <c r="BT20" s="73" t="s">
        <v>563</v>
      </c>
      <c r="BU20" s="73"/>
      <c r="BV20" s="73"/>
    </row>
    <row r="21" spans="1:74" ht="75" x14ac:dyDescent="0.25">
      <c r="A21" s="46">
        <f t="shared" si="1"/>
        <v>18</v>
      </c>
      <c r="B21" s="46" t="s">
        <v>500</v>
      </c>
      <c r="C21" s="73"/>
      <c r="D21" s="73"/>
      <c r="E21" s="73" t="s">
        <v>564</v>
      </c>
      <c r="F21" s="73" t="s">
        <v>565</v>
      </c>
      <c r="G21" s="73"/>
      <c r="H21" s="73"/>
      <c r="I21" s="108" t="s">
        <v>566</v>
      </c>
      <c r="J21" s="109"/>
      <c r="K21" s="109"/>
      <c r="L21" s="109"/>
      <c r="M21" s="109"/>
      <c r="N21" s="109"/>
      <c r="O21" s="110"/>
      <c r="P21" s="73"/>
      <c r="Q21" s="73"/>
      <c r="R21" s="108" t="s">
        <v>566</v>
      </c>
      <c r="S21" s="109"/>
      <c r="T21" s="110"/>
      <c r="U21" s="73" t="s">
        <v>567</v>
      </c>
      <c r="V21" s="73"/>
      <c r="W21" s="73"/>
      <c r="X21" s="73"/>
      <c r="Y21" s="73"/>
      <c r="Z21" s="73"/>
      <c r="AA21" s="108" t="s">
        <v>566</v>
      </c>
      <c r="AB21" s="109"/>
      <c r="AC21" s="109"/>
      <c r="AD21" s="109"/>
      <c r="AE21" s="109"/>
      <c r="AF21" s="110"/>
      <c r="AG21" s="73"/>
      <c r="AH21" s="73" t="s">
        <v>568</v>
      </c>
      <c r="AI21" s="73"/>
      <c r="AJ21" s="73"/>
      <c r="AK21" s="108" t="s">
        <v>566</v>
      </c>
      <c r="AL21" s="109"/>
      <c r="AM21" s="109"/>
      <c r="AN21" s="110"/>
      <c r="AO21" s="73"/>
      <c r="AP21" s="73" t="s">
        <v>569</v>
      </c>
      <c r="AQ21" s="73"/>
      <c r="AR21" s="108" t="s">
        <v>566</v>
      </c>
      <c r="AS21" s="110"/>
      <c r="AT21" s="73"/>
      <c r="AU21" s="73"/>
      <c r="AV21" s="108" t="s">
        <v>570</v>
      </c>
      <c r="AW21" s="110"/>
      <c r="AX21" s="73"/>
      <c r="AY21" s="73" t="s">
        <v>571</v>
      </c>
      <c r="AZ21" s="73"/>
      <c r="BA21" s="73"/>
      <c r="BB21" s="73" t="s">
        <v>572</v>
      </c>
      <c r="BC21" s="73"/>
      <c r="BD21" s="73"/>
      <c r="BE21" s="108" t="s">
        <v>573</v>
      </c>
      <c r="BF21" s="110"/>
      <c r="BG21" s="73"/>
      <c r="BH21" s="73" t="s">
        <v>574</v>
      </c>
      <c r="BI21" s="73"/>
      <c r="BJ21" s="108" t="s">
        <v>566</v>
      </c>
      <c r="BK21" s="109"/>
      <c r="BL21" s="109"/>
      <c r="BM21" s="110"/>
      <c r="BN21" s="73"/>
      <c r="BO21" s="108" t="s">
        <v>575</v>
      </c>
      <c r="BP21" s="109"/>
      <c r="BQ21" s="110"/>
      <c r="BR21" s="73"/>
      <c r="BS21" s="73"/>
      <c r="BT21" s="73" t="s">
        <v>576</v>
      </c>
      <c r="BU21" s="73"/>
      <c r="BV21" s="73"/>
    </row>
    <row r="22" spans="1:74" ht="60" x14ac:dyDescent="0.25">
      <c r="A22" s="46">
        <f t="shared" si="1"/>
        <v>19</v>
      </c>
      <c r="B22" s="46" t="s">
        <v>501</v>
      </c>
      <c r="C22" s="108" t="s">
        <v>577</v>
      </c>
      <c r="D22" s="109"/>
      <c r="E22" s="110"/>
      <c r="F22" s="73"/>
      <c r="G22" s="73"/>
      <c r="H22" s="108" t="s">
        <v>578</v>
      </c>
      <c r="I22" s="109"/>
      <c r="J22" s="109"/>
      <c r="K22" s="109"/>
      <c r="L22" s="110"/>
      <c r="M22" s="73"/>
      <c r="N22" s="73"/>
      <c r="O22" s="73"/>
      <c r="P22" s="73"/>
      <c r="Q22" s="73"/>
      <c r="R22" s="73"/>
      <c r="S22" s="73" t="s">
        <v>579</v>
      </c>
      <c r="T22" s="73"/>
      <c r="U22" s="73"/>
      <c r="V22" s="73"/>
      <c r="W22" s="73"/>
      <c r="X22" s="73"/>
      <c r="Y22" s="73" t="s">
        <v>580</v>
      </c>
      <c r="Z22" s="73"/>
      <c r="AA22" s="73"/>
      <c r="AB22" s="73"/>
      <c r="AC22" s="108" t="s">
        <v>581</v>
      </c>
      <c r="AD22" s="110"/>
      <c r="AE22" s="73"/>
      <c r="AF22" s="108" t="s">
        <v>737</v>
      </c>
      <c r="AG22" s="109"/>
      <c r="AH22" s="110"/>
      <c r="AI22" s="73"/>
      <c r="AJ22" s="73" t="s">
        <v>582</v>
      </c>
      <c r="AK22" s="73"/>
      <c r="AL22" s="73"/>
      <c r="AM22" s="73"/>
      <c r="AN22" s="73"/>
      <c r="AO22" s="73"/>
      <c r="AP22" s="73"/>
      <c r="AQ22" s="73"/>
      <c r="AR22" s="73"/>
      <c r="AS22" s="73"/>
      <c r="AT22" s="73"/>
      <c r="AU22" s="73"/>
      <c r="AV22" s="73" t="s">
        <v>583</v>
      </c>
      <c r="AW22" s="73"/>
      <c r="AX22" s="73"/>
      <c r="AY22" s="73"/>
      <c r="AZ22" s="73"/>
      <c r="BA22" s="73"/>
      <c r="BB22" s="73" t="s">
        <v>584</v>
      </c>
      <c r="BC22" s="73"/>
      <c r="BD22" s="73"/>
      <c r="BE22" s="73"/>
      <c r="BF22" s="73"/>
      <c r="BG22" s="73"/>
      <c r="BH22" s="73"/>
      <c r="BI22" s="73"/>
      <c r="BJ22" s="73"/>
      <c r="BK22" s="73"/>
      <c r="BL22" s="73" t="s">
        <v>585</v>
      </c>
      <c r="BM22" s="73"/>
      <c r="BN22" s="73"/>
      <c r="BO22" s="73"/>
      <c r="BP22" s="108" t="s">
        <v>586</v>
      </c>
      <c r="BQ22" s="109"/>
      <c r="BR22" s="110"/>
      <c r="BS22" s="73"/>
      <c r="BT22" s="73"/>
      <c r="BU22" s="73"/>
      <c r="BV22" s="73" t="s">
        <v>587</v>
      </c>
    </row>
    <row r="23" spans="1:74" ht="120" x14ac:dyDescent="0.25">
      <c r="A23" s="45">
        <f t="shared" si="1"/>
        <v>20</v>
      </c>
      <c r="B23" s="45" t="s">
        <v>502</v>
      </c>
      <c r="C23" s="72" t="s">
        <v>588</v>
      </c>
      <c r="D23" s="72" t="s">
        <v>589</v>
      </c>
      <c r="E23" s="72"/>
      <c r="F23" s="72" t="s">
        <v>591</v>
      </c>
      <c r="G23" s="72" t="s">
        <v>590</v>
      </c>
      <c r="H23" s="72"/>
      <c r="I23" s="72" t="s">
        <v>592</v>
      </c>
      <c r="J23" s="72" t="s">
        <v>593</v>
      </c>
      <c r="K23" s="72"/>
      <c r="L23" s="72"/>
      <c r="M23" s="72" t="s">
        <v>594</v>
      </c>
      <c r="N23" s="72" t="s">
        <v>595</v>
      </c>
      <c r="O23" s="72"/>
      <c r="P23" s="72" t="s">
        <v>596</v>
      </c>
      <c r="Q23" s="72" t="s">
        <v>597</v>
      </c>
      <c r="R23" s="72" t="s">
        <v>598</v>
      </c>
      <c r="S23" s="72"/>
      <c r="T23" s="72" t="s">
        <v>599</v>
      </c>
      <c r="U23" s="72" t="s">
        <v>600</v>
      </c>
      <c r="V23" s="72" t="s">
        <v>601</v>
      </c>
      <c r="W23" s="72" t="s">
        <v>602</v>
      </c>
      <c r="X23" s="72" t="s">
        <v>603</v>
      </c>
      <c r="Y23" s="72"/>
      <c r="Z23" s="72" t="s">
        <v>604</v>
      </c>
      <c r="AA23" s="72" t="s">
        <v>605</v>
      </c>
      <c r="AB23" s="72"/>
      <c r="AC23" s="72" t="s">
        <v>606</v>
      </c>
      <c r="AD23" s="72"/>
      <c r="AE23" s="72" t="s">
        <v>607</v>
      </c>
      <c r="AF23" s="72" t="s">
        <v>608</v>
      </c>
      <c r="AG23" s="72" t="s">
        <v>609</v>
      </c>
      <c r="AH23" s="72" t="s">
        <v>610</v>
      </c>
      <c r="AI23" s="72"/>
      <c r="AJ23" s="72" t="s">
        <v>611</v>
      </c>
      <c r="AK23" s="72" t="s">
        <v>612</v>
      </c>
      <c r="AL23" s="72"/>
      <c r="AM23" s="72"/>
      <c r="AN23" s="72" t="s">
        <v>613</v>
      </c>
      <c r="AO23" s="72"/>
      <c r="AP23" s="72" t="s">
        <v>614</v>
      </c>
      <c r="AQ23" s="72" t="s">
        <v>615</v>
      </c>
      <c r="AR23" s="72"/>
      <c r="AS23" s="72"/>
      <c r="AT23" s="72" t="s">
        <v>616</v>
      </c>
      <c r="AU23" s="72" t="s">
        <v>617</v>
      </c>
      <c r="AV23" s="72"/>
      <c r="AW23" s="72" t="s">
        <v>618</v>
      </c>
      <c r="AX23" s="72" t="s">
        <v>619</v>
      </c>
      <c r="AY23" s="72"/>
      <c r="AZ23" s="72" t="s">
        <v>620</v>
      </c>
      <c r="BA23" s="72"/>
      <c r="BB23" s="72" t="s">
        <v>899</v>
      </c>
      <c r="BC23" s="72" t="s">
        <v>621</v>
      </c>
      <c r="BD23" s="72" t="s">
        <v>622</v>
      </c>
      <c r="BE23" s="72"/>
      <c r="BF23" s="72"/>
      <c r="BG23" s="72" t="s">
        <v>623</v>
      </c>
      <c r="BH23" s="72" t="s">
        <v>624</v>
      </c>
      <c r="BI23" s="72"/>
      <c r="BJ23" s="72" t="s">
        <v>625</v>
      </c>
      <c r="BK23" s="72"/>
      <c r="BL23" s="72" t="s">
        <v>626</v>
      </c>
      <c r="BM23" s="72" t="s">
        <v>627</v>
      </c>
      <c r="BN23" s="72" t="s">
        <v>628</v>
      </c>
      <c r="BO23" s="72" t="s">
        <v>629</v>
      </c>
      <c r="BP23" s="101" t="s">
        <v>630</v>
      </c>
      <c r="BQ23" s="102"/>
      <c r="BR23" s="72" t="s">
        <v>631</v>
      </c>
      <c r="BS23" s="72"/>
      <c r="BT23" s="72" t="s">
        <v>632</v>
      </c>
      <c r="BU23" s="101" t="s">
        <v>633</v>
      </c>
      <c r="BV23" s="102"/>
    </row>
    <row r="24" spans="1:74" ht="75" x14ac:dyDescent="0.25">
      <c r="A24" s="45">
        <f t="shared" si="1"/>
        <v>21</v>
      </c>
      <c r="B24" s="45" t="s">
        <v>503</v>
      </c>
      <c r="C24" s="72"/>
      <c r="D24" s="72"/>
      <c r="E24" s="72"/>
      <c r="F24" s="101" t="s">
        <v>738</v>
      </c>
      <c r="G24" s="102"/>
      <c r="H24" s="72"/>
      <c r="I24" s="72"/>
      <c r="J24" s="72" t="s">
        <v>602</v>
      </c>
      <c r="K24" s="101" t="s">
        <v>739</v>
      </c>
      <c r="L24" s="102"/>
      <c r="M24" s="72" t="s">
        <v>740</v>
      </c>
      <c r="N24" s="72" t="s">
        <v>741</v>
      </c>
      <c r="O24" s="72"/>
      <c r="P24" s="72"/>
      <c r="Q24" s="72"/>
      <c r="R24" s="72"/>
      <c r="S24" s="72"/>
      <c r="T24" s="72"/>
      <c r="U24" s="72" t="s">
        <v>742</v>
      </c>
      <c r="V24" s="72"/>
      <c r="W24" s="72" t="s">
        <v>602</v>
      </c>
      <c r="X24" s="72" t="s">
        <v>743</v>
      </c>
      <c r="Y24" s="72"/>
      <c r="Z24" s="72" t="s">
        <v>744</v>
      </c>
      <c r="AA24" s="72" t="s">
        <v>745</v>
      </c>
      <c r="AB24" s="72"/>
      <c r="AC24" s="72"/>
      <c r="AD24" s="72"/>
      <c r="AE24" s="72"/>
      <c r="AF24" s="72"/>
      <c r="AG24" s="72"/>
      <c r="AH24" s="72" t="s">
        <v>746</v>
      </c>
      <c r="AI24" s="72"/>
      <c r="AJ24" s="72" t="s">
        <v>747</v>
      </c>
      <c r="AK24" s="72" t="s">
        <v>748</v>
      </c>
      <c r="AL24" s="72"/>
      <c r="AM24" s="72"/>
      <c r="AN24" s="72"/>
      <c r="AO24" s="72" t="s">
        <v>749</v>
      </c>
      <c r="AP24" s="72" t="s">
        <v>750</v>
      </c>
      <c r="AQ24" s="72" t="s">
        <v>751</v>
      </c>
      <c r="AR24" s="72"/>
      <c r="AS24" s="101" t="s">
        <v>752</v>
      </c>
      <c r="AT24" s="102"/>
      <c r="AU24" s="72"/>
      <c r="AV24" s="72" t="s">
        <v>753</v>
      </c>
      <c r="AW24" s="72" t="s">
        <v>754</v>
      </c>
      <c r="AX24" s="72"/>
      <c r="AY24" s="72"/>
      <c r="AZ24" s="72"/>
      <c r="BA24" s="72" t="s">
        <v>755</v>
      </c>
      <c r="BB24" s="72" t="s">
        <v>756</v>
      </c>
      <c r="BC24" s="72"/>
      <c r="BD24" s="72" t="s">
        <v>757</v>
      </c>
      <c r="BE24" s="72"/>
      <c r="BF24" s="72" t="s">
        <v>758</v>
      </c>
      <c r="BG24" s="72"/>
      <c r="BH24" s="72"/>
      <c r="BI24" s="72"/>
      <c r="BJ24" s="72"/>
      <c r="BK24" s="72"/>
      <c r="BL24" s="101" t="s">
        <v>759</v>
      </c>
      <c r="BM24" s="102"/>
      <c r="BN24" s="72"/>
      <c r="BO24" s="72"/>
      <c r="BP24" s="72"/>
      <c r="BQ24" s="72" t="s">
        <v>760</v>
      </c>
      <c r="BR24" s="72"/>
      <c r="BS24" s="72" t="s">
        <v>761</v>
      </c>
      <c r="BT24" s="72" t="s">
        <v>762</v>
      </c>
      <c r="BU24" s="72"/>
      <c r="BV24" s="72" t="s">
        <v>763</v>
      </c>
    </row>
    <row r="25" spans="1:74" ht="90" x14ac:dyDescent="0.25">
      <c r="A25" s="45">
        <f t="shared" si="1"/>
        <v>22</v>
      </c>
      <c r="B25" s="45" t="s">
        <v>504</v>
      </c>
      <c r="C25" s="72"/>
      <c r="D25" s="72" t="s">
        <v>764</v>
      </c>
      <c r="E25" s="72"/>
      <c r="F25" s="72"/>
      <c r="G25" s="72"/>
      <c r="H25" s="72"/>
      <c r="I25" s="72"/>
      <c r="J25" s="72" t="s">
        <v>765</v>
      </c>
      <c r="K25" s="72"/>
      <c r="L25" s="72"/>
      <c r="M25" s="72" t="s">
        <v>766</v>
      </c>
      <c r="N25" s="72"/>
      <c r="O25" s="72"/>
      <c r="P25" s="72"/>
      <c r="Q25" s="72"/>
      <c r="R25" s="72"/>
      <c r="S25" s="72"/>
      <c r="T25" s="72"/>
      <c r="U25" s="72" t="s">
        <v>767</v>
      </c>
      <c r="V25" s="72"/>
      <c r="W25" s="72"/>
      <c r="X25" s="72"/>
      <c r="Y25" s="101" t="s">
        <v>768</v>
      </c>
      <c r="Z25" s="102"/>
      <c r="AA25" s="72"/>
      <c r="AB25" s="72"/>
      <c r="AC25" s="72"/>
      <c r="AD25" s="72"/>
      <c r="AE25" s="72"/>
      <c r="AF25" s="72"/>
      <c r="AG25" s="72"/>
      <c r="AH25" s="72"/>
      <c r="AI25" s="72"/>
      <c r="AJ25" s="72"/>
      <c r="AK25" s="72"/>
      <c r="AL25" s="72" t="s">
        <v>769</v>
      </c>
      <c r="AM25" s="72"/>
      <c r="AN25" s="72"/>
      <c r="AO25" s="72"/>
      <c r="AP25" s="72" t="s">
        <v>770</v>
      </c>
      <c r="AQ25" s="72"/>
      <c r="AR25" s="72"/>
      <c r="AS25" s="72"/>
      <c r="AT25" s="72"/>
      <c r="AU25" s="72"/>
      <c r="AV25" s="72"/>
      <c r="AW25" s="72" t="s">
        <v>771</v>
      </c>
      <c r="AX25" s="72"/>
      <c r="AY25" s="72"/>
      <c r="AZ25" s="72"/>
      <c r="BA25" s="72"/>
      <c r="BB25" s="72" t="s">
        <v>772</v>
      </c>
      <c r="BC25" s="72"/>
      <c r="BD25" s="72"/>
      <c r="BE25" s="72" t="s">
        <v>773</v>
      </c>
      <c r="BF25" s="72"/>
      <c r="BG25" s="72" t="s">
        <v>774</v>
      </c>
      <c r="BH25" s="72"/>
      <c r="BI25" s="72" t="s">
        <v>775</v>
      </c>
      <c r="BJ25" s="72"/>
      <c r="BK25" s="72"/>
      <c r="BL25" s="72"/>
      <c r="BM25" s="101" t="s">
        <v>776</v>
      </c>
      <c r="BN25" s="102"/>
      <c r="BO25" s="72"/>
      <c r="BP25" s="101" t="s">
        <v>777</v>
      </c>
      <c r="BQ25" s="103"/>
      <c r="BR25" s="102"/>
      <c r="BS25" s="72"/>
      <c r="BT25" s="72"/>
      <c r="BU25" s="72"/>
      <c r="BV25" s="72" t="s">
        <v>778</v>
      </c>
    </row>
    <row r="26" spans="1:74" x14ac:dyDescent="0.25">
      <c r="A26" s="45">
        <f t="shared" si="1"/>
        <v>23</v>
      </c>
      <c r="B26" s="45" t="s">
        <v>505</v>
      </c>
      <c r="C26" s="72"/>
      <c r="D26" s="72"/>
      <c r="E26" s="72"/>
      <c r="F26" s="72"/>
      <c r="G26" s="72"/>
      <c r="H26" s="72"/>
      <c r="I26" s="72"/>
      <c r="J26" s="72"/>
      <c r="K26" s="72"/>
      <c r="L26" s="72"/>
      <c r="M26" s="72"/>
      <c r="N26" s="72"/>
      <c r="O26" s="72"/>
      <c r="P26" s="72"/>
      <c r="Q26" s="72"/>
      <c r="R26" s="72"/>
      <c r="S26" s="72"/>
      <c r="T26" s="72"/>
      <c r="U26" s="72"/>
      <c r="V26" s="72"/>
      <c r="W26" s="72"/>
      <c r="X26" s="72"/>
      <c r="Y26" s="72"/>
      <c r="Z26" s="72"/>
      <c r="AA26" s="72"/>
      <c r="AB26" s="72"/>
      <c r="AC26" s="72"/>
      <c r="AD26" s="72"/>
      <c r="AE26" s="72"/>
      <c r="AF26" s="72"/>
      <c r="AG26" s="72"/>
      <c r="AH26" s="72"/>
      <c r="AI26" s="72"/>
      <c r="AJ26" s="72"/>
      <c r="AK26" s="72"/>
      <c r="AL26" s="72"/>
      <c r="AM26" s="72"/>
      <c r="AN26" s="72"/>
      <c r="AO26" s="72"/>
      <c r="AP26" s="72"/>
      <c r="AQ26" s="72"/>
      <c r="AR26" s="72"/>
      <c r="AS26" s="72"/>
      <c r="AT26" s="72"/>
      <c r="AU26" s="72"/>
      <c r="AV26" s="72"/>
      <c r="AW26" s="72"/>
      <c r="AX26" s="72"/>
      <c r="AY26" s="72"/>
      <c r="AZ26" s="72"/>
      <c r="BA26" s="72"/>
      <c r="BB26" s="72"/>
      <c r="BC26" s="72"/>
      <c r="BD26" s="72"/>
      <c r="BE26" s="72"/>
      <c r="BF26" s="72"/>
      <c r="BG26" s="72"/>
      <c r="BH26" s="72"/>
      <c r="BI26" s="72"/>
      <c r="BJ26" s="72"/>
      <c r="BK26" s="72"/>
      <c r="BL26" s="72"/>
      <c r="BM26" s="72"/>
      <c r="BN26" s="72"/>
      <c r="BO26" s="72"/>
      <c r="BP26" s="72"/>
      <c r="BQ26" s="72"/>
      <c r="BR26" s="72"/>
      <c r="BS26" s="72"/>
      <c r="BT26" s="72"/>
      <c r="BU26" s="72"/>
      <c r="BV26" s="72"/>
    </row>
    <row r="27" spans="1:74" ht="75" x14ac:dyDescent="0.25">
      <c r="A27" s="45">
        <f t="shared" si="1"/>
        <v>24</v>
      </c>
      <c r="B27" s="45" t="s">
        <v>506</v>
      </c>
      <c r="C27" s="72"/>
      <c r="D27" s="72"/>
      <c r="E27" s="72"/>
      <c r="F27" s="72"/>
      <c r="G27" s="72"/>
      <c r="H27" s="72"/>
      <c r="I27" s="72"/>
      <c r="J27" s="72"/>
      <c r="K27" s="72"/>
      <c r="L27" s="72"/>
      <c r="M27" s="72"/>
      <c r="N27" s="72"/>
      <c r="O27" s="72"/>
      <c r="P27" s="72"/>
      <c r="Q27" s="72"/>
      <c r="R27" s="72"/>
      <c r="S27" s="72"/>
      <c r="T27" s="72"/>
      <c r="U27" s="72"/>
      <c r="V27" s="72"/>
      <c r="W27" s="72"/>
      <c r="X27" s="72"/>
      <c r="Y27" s="72"/>
      <c r="Z27" s="72"/>
      <c r="AA27" s="72"/>
      <c r="AB27" s="72"/>
      <c r="AC27" s="72"/>
      <c r="AD27" s="72"/>
      <c r="AE27" s="72"/>
      <c r="AF27" s="72"/>
      <c r="AG27" s="72"/>
      <c r="AH27" s="72"/>
      <c r="AI27" s="72"/>
      <c r="AJ27" s="72"/>
      <c r="AK27" s="72"/>
      <c r="AL27" s="72"/>
      <c r="AM27" s="72"/>
      <c r="AN27" s="72"/>
      <c r="AO27" s="72"/>
      <c r="AP27" s="72"/>
      <c r="AQ27" s="72"/>
      <c r="AR27" s="72"/>
      <c r="AS27" s="72"/>
      <c r="AT27" s="72"/>
      <c r="AU27" s="72"/>
      <c r="AV27" s="72"/>
      <c r="AW27" s="72"/>
      <c r="AX27" s="72"/>
      <c r="AY27" s="72"/>
      <c r="AZ27" s="72"/>
      <c r="BA27" s="72"/>
      <c r="BB27" s="72" t="s">
        <v>519</v>
      </c>
      <c r="BC27" s="72"/>
      <c r="BD27" s="72"/>
      <c r="BE27" s="72" t="s">
        <v>520</v>
      </c>
      <c r="BF27" s="72"/>
      <c r="BG27" s="72"/>
      <c r="BH27" s="72"/>
      <c r="BI27" s="72"/>
      <c r="BJ27" s="72"/>
      <c r="BK27" s="72"/>
      <c r="BL27" s="72"/>
      <c r="BM27" s="72"/>
      <c r="BN27" s="72"/>
      <c r="BO27" s="72"/>
      <c r="BP27" s="72"/>
      <c r="BQ27" s="72"/>
      <c r="BR27" s="72"/>
      <c r="BS27" s="72"/>
      <c r="BT27" s="72"/>
      <c r="BU27" s="120" t="s">
        <v>521</v>
      </c>
      <c r="BV27" s="120"/>
    </row>
    <row r="28" spans="1:74" s="65" customFormat="1" ht="45" customHeight="1" x14ac:dyDescent="0.25">
      <c r="A28" s="46">
        <f t="shared" si="1"/>
        <v>25</v>
      </c>
      <c r="B28" s="46" t="s">
        <v>779</v>
      </c>
      <c r="C28" s="74"/>
      <c r="D28" s="74"/>
      <c r="E28" s="74"/>
      <c r="F28" s="74"/>
      <c r="G28" s="74"/>
      <c r="H28" s="74"/>
      <c r="I28" s="74"/>
      <c r="J28" s="74"/>
      <c r="K28" s="74"/>
      <c r="L28" s="74"/>
      <c r="M28" s="74"/>
      <c r="N28" s="74"/>
      <c r="O28" s="74"/>
      <c r="P28" s="74"/>
      <c r="Q28" s="74"/>
      <c r="R28" s="74"/>
      <c r="S28" s="74" t="s">
        <v>780</v>
      </c>
      <c r="T28" s="74"/>
      <c r="U28" s="74"/>
      <c r="V28" s="74"/>
      <c r="W28" s="74"/>
      <c r="X28" s="74"/>
      <c r="Y28" s="74"/>
      <c r="Z28" s="74"/>
      <c r="AA28" s="74"/>
      <c r="AB28" s="74"/>
      <c r="AC28" s="74"/>
      <c r="AD28" s="74"/>
      <c r="AE28" s="74"/>
      <c r="AF28" s="74"/>
      <c r="AG28" s="74"/>
      <c r="AH28" s="74"/>
      <c r="AI28" s="74"/>
      <c r="AJ28" s="74" t="s">
        <v>781</v>
      </c>
      <c r="AK28" s="74"/>
      <c r="AL28" s="74"/>
      <c r="AM28" s="74"/>
      <c r="AN28" s="74"/>
      <c r="AO28" s="74"/>
      <c r="AP28" s="74" t="s">
        <v>782</v>
      </c>
      <c r="AQ28" s="74" t="s">
        <v>783</v>
      </c>
      <c r="AR28" s="74"/>
      <c r="AS28" s="74"/>
      <c r="AT28" s="74"/>
      <c r="AU28" s="74" t="s">
        <v>784</v>
      </c>
      <c r="AV28" s="74"/>
      <c r="AW28" s="74"/>
      <c r="AX28" s="74"/>
      <c r="AY28" s="74"/>
      <c r="AZ28" s="74" t="s">
        <v>785</v>
      </c>
      <c r="BA28" s="74"/>
      <c r="BB28" s="74"/>
      <c r="BC28" s="74"/>
      <c r="BD28" s="74"/>
      <c r="BE28" s="74"/>
      <c r="BF28" s="74"/>
      <c r="BG28" s="74"/>
      <c r="BH28" s="74"/>
      <c r="BI28" s="104" t="s">
        <v>786</v>
      </c>
      <c r="BJ28" s="105"/>
      <c r="BK28" s="74"/>
      <c r="BL28" s="74"/>
      <c r="BM28" s="74"/>
      <c r="BN28" s="74"/>
      <c r="BO28" s="74"/>
      <c r="BP28" s="104" t="s">
        <v>787</v>
      </c>
      <c r="BQ28" s="106"/>
      <c r="BR28" s="106"/>
      <c r="BS28" s="106"/>
      <c r="BT28" s="106"/>
      <c r="BU28" s="106"/>
      <c r="BV28" s="105"/>
    </row>
    <row r="29" spans="1:74" s="65" customFormat="1" ht="60" x14ac:dyDescent="0.25">
      <c r="A29" s="46">
        <f t="shared" si="1"/>
        <v>26</v>
      </c>
      <c r="B29" s="46" t="s">
        <v>508</v>
      </c>
      <c r="C29" s="74"/>
      <c r="D29" s="74"/>
      <c r="E29" s="74"/>
      <c r="F29" s="121" t="s">
        <v>522</v>
      </c>
      <c r="G29" s="121"/>
      <c r="H29" s="74"/>
      <c r="I29" s="74"/>
      <c r="J29" s="74"/>
      <c r="K29" s="74"/>
      <c r="L29" s="74"/>
      <c r="M29" s="74"/>
      <c r="N29" s="74"/>
      <c r="O29" s="74"/>
      <c r="P29" s="74"/>
      <c r="Q29" s="74"/>
      <c r="R29" s="74"/>
      <c r="S29" s="74"/>
      <c r="T29" s="74"/>
      <c r="U29" s="74" t="s">
        <v>523</v>
      </c>
      <c r="V29" s="74"/>
      <c r="W29" s="74" t="s">
        <v>524</v>
      </c>
      <c r="X29" s="74"/>
      <c r="Y29" s="74"/>
      <c r="Z29" s="74"/>
      <c r="AA29" s="74"/>
      <c r="AB29" s="74"/>
      <c r="AC29" s="74"/>
      <c r="AD29" s="74"/>
      <c r="AE29" s="74"/>
      <c r="AF29" s="74"/>
      <c r="AG29" s="74" t="s">
        <v>525</v>
      </c>
      <c r="AH29" s="74"/>
      <c r="AI29" s="74"/>
      <c r="AJ29" s="74"/>
      <c r="AK29" s="74"/>
      <c r="AL29" s="74"/>
      <c r="AM29" s="74"/>
      <c r="AN29" s="74"/>
      <c r="AO29" s="74"/>
      <c r="AP29" s="74" t="s">
        <v>526</v>
      </c>
      <c r="AQ29" s="74"/>
      <c r="AR29" s="74"/>
      <c r="AS29" s="74"/>
      <c r="AT29" s="74"/>
      <c r="AU29" s="74"/>
      <c r="AV29" s="74"/>
      <c r="AW29" s="74"/>
      <c r="AX29" s="74"/>
      <c r="AY29" s="74"/>
      <c r="AZ29" s="74"/>
      <c r="BA29" s="74"/>
      <c r="BB29" s="74"/>
      <c r="BC29" s="74"/>
      <c r="BD29" s="74"/>
      <c r="BE29" s="74"/>
      <c r="BF29" s="74"/>
      <c r="BG29" s="74"/>
      <c r="BH29" s="74"/>
      <c r="BI29" s="74"/>
      <c r="BJ29" s="74"/>
      <c r="BK29" s="74"/>
      <c r="BL29" s="74"/>
      <c r="BM29" s="74"/>
      <c r="BN29" s="74"/>
      <c r="BO29" s="74"/>
      <c r="BP29" s="74" t="s">
        <v>527</v>
      </c>
      <c r="BQ29" s="74"/>
      <c r="BR29" s="74"/>
      <c r="BS29" s="74"/>
      <c r="BT29" s="74" t="s">
        <v>528</v>
      </c>
      <c r="BU29" s="74"/>
      <c r="BV29" s="74" t="s">
        <v>529</v>
      </c>
    </row>
    <row r="30" spans="1:74" s="65" customFormat="1" ht="60" customHeight="1" x14ac:dyDescent="0.25">
      <c r="A30" s="46">
        <f t="shared" si="1"/>
        <v>27</v>
      </c>
      <c r="B30" s="46" t="s">
        <v>509</v>
      </c>
      <c r="C30" s="74"/>
      <c r="D30" s="74" t="s">
        <v>788</v>
      </c>
      <c r="E30" s="74"/>
      <c r="F30" s="74" t="s">
        <v>789</v>
      </c>
      <c r="G30" s="74"/>
      <c r="H30" s="74" t="s">
        <v>789</v>
      </c>
      <c r="I30" s="74"/>
      <c r="J30" s="74"/>
      <c r="K30" s="74"/>
      <c r="L30" s="74"/>
      <c r="M30" s="74"/>
      <c r="N30" s="74"/>
      <c r="O30" s="74" t="s">
        <v>790</v>
      </c>
      <c r="P30" s="74"/>
      <c r="Q30" s="74"/>
      <c r="R30" s="74"/>
      <c r="S30" s="74"/>
      <c r="T30" s="74"/>
      <c r="U30" s="74"/>
      <c r="V30" s="74"/>
      <c r="W30" s="74"/>
      <c r="X30" s="74"/>
      <c r="Y30" s="74"/>
      <c r="Z30" s="74"/>
      <c r="AA30" s="74"/>
      <c r="AB30" s="74"/>
      <c r="AC30" s="74"/>
      <c r="AD30" s="74"/>
      <c r="AE30" s="74"/>
      <c r="AF30" s="74"/>
      <c r="AG30" s="104" t="s">
        <v>791</v>
      </c>
      <c r="AH30" s="105"/>
      <c r="AI30" s="74"/>
      <c r="AJ30" s="74"/>
      <c r="AK30" s="74"/>
      <c r="AL30" s="74"/>
      <c r="AM30" s="74"/>
      <c r="AN30" s="74"/>
      <c r="AO30" s="74"/>
      <c r="AP30" s="74" t="s">
        <v>792</v>
      </c>
      <c r="AQ30" s="74"/>
      <c r="AR30" s="74"/>
      <c r="AS30" s="74"/>
      <c r="AT30" s="74"/>
      <c r="AU30" s="74"/>
      <c r="AV30" s="74"/>
      <c r="AW30" s="74"/>
      <c r="AX30" s="74"/>
      <c r="AY30" s="74"/>
      <c r="AZ30" s="74"/>
      <c r="BA30" s="74"/>
      <c r="BB30" s="74"/>
      <c r="BC30" s="74"/>
      <c r="BD30" s="74"/>
      <c r="BE30" s="74"/>
      <c r="BF30" s="74"/>
      <c r="BG30" s="74"/>
      <c r="BH30" s="74"/>
      <c r="BI30" s="74"/>
      <c r="BJ30" s="74"/>
      <c r="BK30" s="74"/>
      <c r="BL30" s="74"/>
      <c r="BM30" s="74"/>
      <c r="BN30" s="74"/>
      <c r="BO30" s="74"/>
      <c r="BP30" s="104" t="s">
        <v>793</v>
      </c>
      <c r="BQ30" s="106"/>
      <c r="BR30" s="106"/>
      <c r="BS30" s="105"/>
      <c r="BT30" s="74"/>
      <c r="BU30" s="74"/>
      <c r="BV30" s="74" t="s">
        <v>794</v>
      </c>
    </row>
    <row r="31" spans="1:74" ht="105" x14ac:dyDescent="0.25">
      <c r="A31" s="45">
        <f t="shared" si="1"/>
        <v>28</v>
      </c>
      <c r="B31" s="45" t="s">
        <v>511</v>
      </c>
      <c r="C31" s="72"/>
      <c r="D31" s="72"/>
      <c r="E31" s="72"/>
      <c r="F31" s="72"/>
      <c r="G31" s="72"/>
      <c r="H31" s="72"/>
      <c r="I31" s="72"/>
      <c r="J31" s="72"/>
      <c r="K31" s="72" t="s">
        <v>795</v>
      </c>
      <c r="L31" s="72"/>
      <c r="M31" s="72"/>
      <c r="N31" s="72"/>
      <c r="O31" s="72"/>
      <c r="P31" s="72"/>
      <c r="Q31" s="72"/>
      <c r="R31" s="72"/>
      <c r="S31" s="72"/>
      <c r="T31" s="72"/>
      <c r="U31" s="72"/>
      <c r="V31" s="72" t="s">
        <v>796</v>
      </c>
      <c r="W31" s="72"/>
      <c r="X31" s="72"/>
      <c r="Y31" s="72"/>
      <c r="Z31" s="72"/>
      <c r="AA31" s="72"/>
      <c r="AB31" s="72" t="s">
        <v>797</v>
      </c>
      <c r="AC31" s="72"/>
      <c r="AD31" s="72"/>
      <c r="AE31" s="72"/>
      <c r="AF31" s="72" t="s">
        <v>798</v>
      </c>
      <c r="AG31" s="72"/>
      <c r="AH31" s="72"/>
      <c r="AI31" s="72"/>
      <c r="AJ31" s="72"/>
      <c r="AK31" s="72"/>
      <c r="AL31" s="72"/>
      <c r="AM31" s="72"/>
      <c r="AN31" s="72"/>
      <c r="AO31" s="72"/>
      <c r="AP31" s="72"/>
      <c r="AQ31" s="72"/>
      <c r="AR31" s="72"/>
      <c r="AS31" s="72"/>
      <c r="AT31" s="72"/>
      <c r="AU31" s="72"/>
      <c r="AV31" s="72"/>
      <c r="AW31" s="72"/>
      <c r="AX31" s="72"/>
      <c r="AY31" s="72"/>
      <c r="AZ31" s="72"/>
      <c r="BA31" s="72"/>
      <c r="BB31" s="72"/>
      <c r="BC31" s="72"/>
      <c r="BD31" s="72"/>
      <c r="BE31" s="72"/>
      <c r="BF31" s="72"/>
      <c r="BG31" s="72"/>
      <c r="BH31" s="72"/>
      <c r="BI31" s="72"/>
      <c r="BJ31" s="72"/>
      <c r="BK31" s="72"/>
      <c r="BL31" s="72" t="s">
        <v>799</v>
      </c>
      <c r="BM31" s="72"/>
      <c r="BN31" s="72"/>
      <c r="BO31" s="72"/>
      <c r="BP31" s="72"/>
      <c r="BQ31" s="72"/>
      <c r="BR31" s="72"/>
      <c r="BS31" s="72"/>
      <c r="BT31" s="72" t="s">
        <v>800</v>
      </c>
      <c r="BU31" s="72"/>
      <c r="BV31" s="72"/>
    </row>
    <row r="32" spans="1:74" ht="180" x14ac:dyDescent="0.25">
      <c r="A32" s="45">
        <f t="shared" si="1"/>
        <v>29</v>
      </c>
      <c r="B32" s="45" t="s">
        <v>510</v>
      </c>
      <c r="C32" s="72"/>
      <c r="D32" s="72"/>
      <c r="E32" s="72"/>
      <c r="F32" s="72"/>
      <c r="G32" s="72"/>
      <c r="H32" s="72"/>
      <c r="I32" s="72"/>
      <c r="J32" s="72"/>
      <c r="K32" s="72"/>
      <c r="L32" s="72"/>
      <c r="M32" s="72"/>
      <c r="N32" s="72"/>
      <c r="O32" s="72"/>
      <c r="P32" s="72"/>
      <c r="Q32" s="72"/>
      <c r="R32" s="72" t="s">
        <v>515</v>
      </c>
      <c r="S32" s="72"/>
      <c r="T32" s="72"/>
      <c r="U32" s="72" t="s">
        <v>516</v>
      </c>
      <c r="V32" s="72"/>
      <c r="W32" s="72"/>
      <c r="X32" s="72"/>
      <c r="Y32" s="72"/>
      <c r="Z32" s="72"/>
      <c r="AA32" s="72"/>
      <c r="AB32" s="72"/>
      <c r="AC32" s="72"/>
      <c r="AD32" s="72"/>
      <c r="AE32" s="72"/>
      <c r="AF32" s="72"/>
      <c r="AG32" s="72"/>
      <c r="AH32" s="72"/>
      <c r="AI32" s="72"/>
      <c r="AJ32" s="72"/>
      <c r="AK32" s="72"/>
      <c r="AL32" s="72"/>
      <c r="AM32" s="72"/>
      <c r="AN32" s="72"/>
      <c r="AO32" s="72"/>
      <c r="AP32" s="120" t="s">
        <v>517</v>
      </c>
      <c r="AQ32" s="120"/>
      <c r="AR32" s="72"/>
      <c r="AS32" s="72"/>
      <c r="AT32" s="72"/>
      <c r="AU32" s="72" t="s">
        <v>518</v>
      </c>
      <c r="AV32" s="72"/>
      <c r="AW32" s="72"/>
      <c r="AX32" s="72"/>
      <c r="AY32" s="72"/>
      <c r="AZ32" s="72"/>
      <c r="BA32" s="72"/>
      <c r="BB32" s="72"/>
      <c r="BC32" s="72"/>
      <c r="BD32" s="72"/>
      <c r="BE32" s="72"/>
      <c r="BF32" s="72"/>
      <c r="BG32" s="72"/>
      <c r="BH32" s="72"/>
      <c r="BI32" s="72"/>
      <c r="BJ32" s="72"/>
      <c r="BK32" s="72"/>
      <c r="BL32" s="72"/>
      <c r="BM32" s="72"/>
      <c r="BN32" s="72"/>
      <c r="BO32" s="72"/>
      <c r="BP32" s="72"/>
      <c r="BQ32" s="72"/>
      <c r="BR32" s="72"/>
      <c r="BS32" s="72"/>
      <c r="BT32" s="72"/>
      <c r="BU32" s="72"/>
      <c r="BV32" s="72"/>
    </row>
    <row r="33" spans="1:74" ht="120" x14ac:dyDescent="0.25">
      <c r="A33" s="45">
        <f t="shared" si="1"/>
        <v>30</v>
      </c>
      <c r="B33" s="45" t="s">
        <v>512</v>
      </c>
      <c r="C33" s="72" t="s">
        <v>801</v>
      </c>
      <c r="D33" s="72"/>
      <c r="E33" s="72"/>
      <c r="F33" s="101" t="s">
        <v>802</v>
      </c>
      <c r="G33" s="102"/>
      <c r="H33" s="72"/>
      <c r="I33" s="72" t="s">
        <v>803</v>
      </c>
      <c r="J33" s="72" t="s">
        <v>804</v>
      </c>
      <c r="K33" s="72"/>
      <c r="L33" s="72"/>
      <c r="M33" s="72" t="s">
        <v>805</v>
      </c>
      <c r="N33" s="72" t="s">
        <v>806</v>
      </c>
      <c r="O33" s="72" t="s">
        <v>807</v>
      </c>
      <c r="P33" s="72" t="s">
        <v>808</v>
      </c>
      <c r="Q33" s="72" t="s">
        <v>809</v>
      </c>
      <c r="R33" s="72"/>
      <c r="S33" s="72" t="s">
        <v>810</v>
      </c>
      <c r="T33" s="72" t="s">
        <v>811</v>
      </c>
      <c r="U33" s="72" t="s">
        <v>812</v>
      </c>
      <c r="V33" s="72" t="s">
        <v>813</v>
      </c>
      <c r="W33" s="72" t="s">
        <v>814</v>
      </c>
      <c r="X33" s="72" t="s">
        <v>815</v>
      </c>
      <c r="Y33" s="72" t="s">
        <v>816</v>
      </c>
      <c r="Z33" s="101" t="s">
        <v>817</v>
      </c>
      <c r="AA33" s="102"/>
      <c r="AB33" s="101" t="s">
        <v>818</v>
      </c>
      <c r="AC33" s="102"/>
      <c r="AD33" s="72"/>
      <c r="AE33" s="101" t="s">
        <v>819</v>
      </c>
      <c r="AF33" s="102"/>
      <c r="AG33" s="72" t="s">
        <v>820</v>
      </c>
      <c r="AH33" s="72" t="s">
        <v>821</v>
      </c>
      <c r="AI33" s="72" t="s">
        <v>822</v>
      </c>
      <c r="AJ33" s="72" t="s">
        <v>823</v>
      </c>
      <c r="AK33" s="72" t="s">
        <v>824</v>
      </c>
      <c r="AL33" s="72" t="s">
        <v>825</v>
      </c>
      <c r="AM33" s="72" t="s">
        <v>826</v>
      </c>
      <c r="AN33" s="72" t="s">
        <v>827</v>
      </c>
      <c r="AO33" s="72" t="s">
        <v>828</v>
      </c>
      <c r="AP33" s="72" t="s">
        <v>829</v>
      </c>
      <c r="AQ33" s="72" t="s">
        <v>830</v>
      </c>
      <c r="AR33" s="72" t="s">
        <v>831</v>
      </c>
      <c r="AS33" s="72"/>
      <c r="AT33" s="72"/>
      <c r="AU33" s="72"/>
      <c r="AV33" s="72"/>
      <c r="AW33" s="72"/>
      <c r="AX33" s="72" t="s">
        <v>832</v>
      </c>
      <c r="AY33" s="72"/>
      <c r="AZ33" s="72"/>
      <c r="BA33" s="72" t="s">
        <v>833</v>
      </c>
      <c r="BB33" s="72" t="s">
        <v>834</v>
      </c>
      <c r="BC33" s="72"/>
      <c r="BD33" s="72"/>
      <c r="BE33" s="72" t="s">
        <v>835</v>
      </c>
      <c r="BF33" s="72" t="s">
        <v>836</v>
      </c>
      <c r="BG33" s="72" t="s">
        <v>837</v>
      </c>
      <c r="BH33" s="72" t="s">
        <v>838</v>
      </c>
      <c r="BI33" s="72" t="s">
        <v>839</v>
      </c>
      <c r="BJ33" s="72" t="s">
        <v>840</v>
      </c>
      <c r="BK33" s="72"/>
      <c r="BL33" s="72" t="s">
        <v>841</v>
      </c>
      <c r="BM33" s="72"/>
      <c r="BN33" s="72"/>
      <c r="BO33" s="72" t="s">
        <v>842</v>
      </c>
      <c r="BP33" s="72" t="s">
        <v>843</v>
      </c>
      <c r="BQ33" s="72" t="s">
        <v>844</v>
      </c>
      <c r="BR33" s="72" t="s">
        <v>845</v>
      </c>
      <c r="BS33" s="72" t="s">
        <v>846</v>
      </c>
      <c r="BT33" s="72" t="s">
        <v>847</v>
      </c>
      <c r="BU33" s="72" t="s">
        <v>848</v>
      </c>
      <c r="BV33" s="72" t="s">
        <v>849</v>
      </c>
    </row>
    <row r="34" spans="1:74" ht="105" x14ac:dyDescent="0.25">
      <c r="A34" s="45">
        <f t="shared" si="1"/>
        <v>31</v>
      </c>
      <c r="B34" s="45" t="s">
        <v>634</v>
      </c>
      <c r="C34" s="72" t="s">
        <v>635</v>
      </c>
      <c r="D34" s="72"/>
      <c r="E34" s="72"/>
      <c r="F34" s="120" t="s">
        <v>636</v>
      </c>
      <c r="G34" s="120"/>
      <c r="H34" s="120"/>
      <c r="I34" s="120" t="s">
        <v>637</v>
      </c>
      <c r="J34" s="120"/>
      <c r="K34" s="120"/>
      <c r="L34" s="120"/>
      <c r="M34" s="72"/>
      <c r="N34" s="72"/>
      <c r="O34" s="72"/>
      <c r="P34" s="72"/>
      <c r="Q34" s="72"/>
      <c r="R34" s="72"/>
      <c r="S34" s="72"/>
      <c r="T34" s="72"/>
      <c r="U34" s="72"/>
      <c r="V34" s="72"/>
      <c r="W34" s="72"/>
      <c r="X34" s="72"/>
      <c r="Y34" s="72"/>
      <c r="Z34" s="72"/>
      <c r="AA34" s="72"/>
      <c r="AB34" s="72"/>
      <c r="AC34" s="72"/>
      <c r="AD34" s="72"/>
      <c r="AE34" s="72"/>
      <c r="AF34" s="72"/>
      <c r="AG34" s="72"/>
      <c r="AH34" s="72"/>
      <c r="AI34" s="72"/>
      <c r="AJ34" s="72" t="s">
        <v>638</v>
      </c>
      <c r="AK34" s="72"/>
      <c r="AL34" s="72"/>
      <c r="AM34" s="72"/>
      <c r="AN34" s="72"/>
      <c r="AO34" s="72"/>
      <c r="AP34" s="72" t="s">
        <v>639</v>
      </c>
      <c r="AQ34" s="72" t="s">
        <v>640</v>
      </c>
      <c r="AR34" s="72"/>
      <c r="AS34" s="72"/>
      <c r="AT34" s="72"/>
      <c r="AU34" s="72"/>
      <c r="AV34" s="72"/>
      <c r="AW34" s="72"/>
      <c r="AX34" s="72" t="s">
        <v>641</v>
      </c>
      <c r="AY34" s="72"/>
      <c r="AZ34" s="72"/>
      <c r="BA34" s="72"/>
      <c r="BB34" s="72" t="s">
        <v>642</v>
      </c>
      <c r="BC34" s="72"/>
      <c r="BD34" s="72"/>
      <c r="BE34" s="72"/>
      <c r="BF34" s="72"/>
      <c r="BG34" s="72"/>
      <c r="BH34" s="72"/>
      <c r="BI34" s="72" t="s">
        <v>643</v>
      </c>
      <c r="BJ34" s="72" t="s">
        <v>644</v>
      </c>
      <c r="BK34" s="72" t="s">
        <v>645</v>
      </c>
      <c r="BL34" s="72" t="s">
        <v>646</v>
      </c>
      <c r="BM34" s="72" t="s">
        <v>647</v>
      </c>
      <c r="BN34" s="72" t="s">
        <v>648</v>
      </c>
      <c r="BO34" s="72" t="s">
        <v>649</v>
      </c>
      <c r="BP34" s="72" t="s">
        <v>650</v>
      </c>
      <c r="BQ34" s="72" t="s">
        <v>651</v>
      </c>
      <c r="BR34" s="72" t="s">
        <v>652</v>
      </c>
      <c r="BS34" s="72" t="s">
        <v>653</v>
      </c>
      <c r="BT34" s="72" t="s">
        <v>654</v>
      </c>
      <c r="BU34" s="72" t="s">
        <v>655</v>
      </c>
      <c r="BV34" s="72" t="s">
        <v>656</v>
      </c>
    </row>
    <row r="35" spans="1:74" ht="105" x14ac:dyDescent="0.25">
      <c r="A35" s="45">
        <f t="shared" si="1"/>
        <v>32</v>
      </c>
      <c r="B35" s="45" t="s">
        <v>852</v>
      </c>
      <c r="C35" s="72"/>
      <c r="D35" s="72"/>
      <c r="E35" s="72"/>
      <c r="F35" s="72"/>
      <c r="G35" s="72" t="s">
        <v>854</v>
      </c>
      <c r="H35" s="72"/>
      <c r="I35" s="72"/>
      <c r="J35" s="72"/>
      <c r="K35" s="72"/>
      <c r="L35" s="101" t="s">
        <v>855</v>
      </c>
      <c r="M35" s="103"/>
      <c r="N35" s="102"/>
      <c r="O35" s="72"/>
      <c r="P35" s="72"/>
      <c r="Q35" s="72" t="s">
        <v>856</v>
      </c>
      <c r="R35" s="72"/>
      <c r="S35" s="72" t="s">
        <v>853</v>
      </c>
      <c r="T35" s="72" t="s">
        <v>857</v>
      </c>
      <c r="U35" s="72"/>
      <c r="V35" s="72"/>
      <c r="W35" s="72"/>
      <c r="X35" s="72" t="s">
        <v>858</v>
      </c>
      <c r="Y35" s="72"/>
      <c r="Z35" s="72"/>
      <c r="AA35" s="72" t="s">
        <v>859</v>
      </c>
      <c r="AB35" s="72"/>
      <c r="AC35" s="72"/>
      <c r="AD35" s="72"/>
      <c r="AE35" s="72"/>
      <c r="AF35" s="72"/>
      <c r="AG35" s="72" t="s">
        <v>860</v>
      </c>
      <c r="AH35" s="72"/>
      <c r="AI35" s="72"/>
      <c r="AJ35" s="72"/>
      <c r="AK35" s="72"/>
      <c r="AL35" s="72"/>
      <c r="AM35" s="72"/>
      <c r="AN35" s="72" t="s">
        <v>861</v>
      </c>
      <c r="AO35" s="72"/>
      <c r="AP35" s="72" t="s">
        <v>862</v>
      </c>
      <c r="AQ35" s="72"/>
      <c r="AR35" s="72"/>
      <c r="AS35" s="72"/>
      <c r="AT35" s="72"/>
      <c r="AU35" s="72"/>
      <c r="AV35" s="72"/>
      <c r="AW35" s="72"/>
      <c r="AX35" s="72"/>
      <c r="AY35" s="72"/>
      <c r="AZ35" s="72"/>
      <c r="BA35" s="72"/>
      <c r="BB35" s="72" t="s">
        <v>863</v>
      </c>
      <c r="BC35" s="72" t="s">
        <v>864</v>
      </c>
      <c r="BD35" s="72"/>
      <c r="BE35" s="72" t="s">
        <v>865</v>
      </c>
      <c r="BF35" s="72"/>
      <c r="BG35" s="72" t="s">
        <v>866</v>
      </c>
      <c r="BH35" s="72"/>
      <c r="BI35" s="72"/>
      <c r="BJ35" s="72"/>
      <c r="BK35" s="72"/>
      <c r="BL35" s="72"/>
      <c r="BM35" s="72"/>
      <c r="BN35" s="72"/>
      <c r="BO35" s="72"/>
      <c r="BP35" s="72" t="s">
        <v>867</v>
      </c>
      <c r="BQ35" s="72" t="s">
        <v>869</v>
      </c>
      <c r="BR35" s="101" t="s">
        <v>868</v>
      </c>
      <c r="BS35" s="102"/>
      <c r="BT35" s="72" t="s">
        <v>870</v>
      </c>
      <c r="BU35" s="72"/>
      <c r="BV35" s="72"/>
    </row>
    <row r="36" spans="1:74" x14ac:dyDescent="0.25">
      <c r="A36" s="111" t="s">
        <v>666</v>
      </c>
      <c r="B36" s="112"/>
      <c r="C36" s="112"/>
      <c r="D36" s="112"/>
      <c r="E36" s="112"/>
      <c r="F36" s="112"/>
      <c r="G36" s="112"/>
      <c r="H36" s="112"/>
      <c r="I36" s="112"/>
      <c r="J36" s="112"/>
      <c r="K36" s="112"/>
      <c r="L36" s="112"/>
      <c r="M36" s="112"/>
      <c r="N36" s="112"/>
      <c r="O36" s="112"/>
      <c r="P36" s="112"/>
      <c r="Q36" s="112"/>
      <c r="R36" s="112"/>
      <c r="S36" s="112"/>
      <c r="T36" s="112"/>
      <c r="U36" s="112"/>
      <c r="V36" s="112"/>
      <c r="W36" s="112"/>
      <c r="X36" s="112"/>
      <c r="Y36" s="112"/>
      <c r="Z36" s="112"/>
      <c r="AA36" s="112"/>
      <c r="AB36" s="112"/>
      <c r="AC36" s="112"/>
      <c r="AD36" s="112"/>
      <c r="AE36" s="112"/>
      <c r="AF36" s="112"/>
      <c r="AG36" s="112"/>
      <c r="AH36" s="112"/>
      <c r="AI36" s="112"/>
      <c r="AJ36" s="112"/>
      <c r="AK36" s="112"/>
      <c r="AL36" s="112"/>
      <c r="AM36" s="112"/>
      <c r="AN36" s="112"/>
      <c r="AO36" s="112"/>
      <c r="AP36" s="112"/>
      <c r="AQ36" s="112"/>
      <c r="AR36" s="112"/>
      <c r="AS36" s="112"/>
      <c r="AT36" s="112"/>
      <c r="AU36" s="112"/>
      <c r="AV36" s="112"/>
      <c r="AW36" s="112"/>
      <c r="AX36" s="112"/>
      <c r="AY36" s="112"/>
      <c r="AZ36" s="112"/>
      <c r="BA36" s="112"/>
      <c r="BB36" s="112"/>
      <c r="BC36" s="112"/>
      <c r="BD36" s="112"/>
      <c r="BE36" s="112"/>
      <c r="BF36" s="112"/>
      <c r="BG36" s="112"/>
      <c r="BH36" s="112"/>
      <c r="BI36" s="112"/>
      <c r="BJ36" s="112"/>
      <c r="BK36" s="112"/>
      <c r="BL36" s="112"/>
      <c r="BM36" s="112"/>
      <c r="BN36" s="112"/>
      <c r="BO36" s="112"/>
      <c r="BP36" s="112"/>
      <c r="BQ36" s="112"/>
      <c r="BR36" s="112"/>
      <c r="BS36" s="112"/>
      <c r="BT36" s="112"/>
      <c r="BU36" s="112"/>
      <c r="BV36" s="113"/>
    </row>
    <row r="37" spans="1:74" x14ac:dyDescent="0.25">
      <c r="A37" s="114"/>
      <c r="B37" s="115"/>
      <c r="C37" s="115"/>
      <c r="D37" s="115"/>
      <c r="E37" s="115"/>
      <c r="F37" s="115"/>
      <c r="G37" s="115"/>
      <c r="H37" s="115"/>
      <c r="I37" s="115"/>
      <c r="J37" s="115"/>
      <c r="K37" s="115"/>
      <c r="L37" s="115"/>
      <c r="M37" s="115"/>
      <c r="N37" s="115"/>
      <c r="O37" s="115"/>
      <c r="P37" s="115"/>
      <c r="Q37" s="115"/>
      <c r="R37" s="115"/>
      <c r="S37" s="115"/>
      <c r="T37" s="115"/>
      <c r="U37" s="115"/>
      <c r="V37" s="115"/>
      <c r="W37" s="115"/>
      <c r="X37" s="115"/>
      <c r="Y37" s="115"/>
      <c r="Z37" s="115"/>
      <c r="AA37" s="115"/>
      <c r="AB37" s="115"/>
      <c r="AC37" s="115"/>
      <c r="AD37" s="115"/>
      <c r="AE37" s="115"/>
      <c r="AF37" s="115"/>
      <c r="AG37" s="115"/>
      <c r="AH37" s="115"/>
      <c r="AI37" s="115"/>
      <c r="AJ37" s="115"/>
      <c r="AK37" s="115"/>
      <c r="AL37" s="115"/>
      <c r="AM37" s="115"/>
      <c r="AN37" s="115"/>
      <c r="AO37" s="115"/>
      <c r="AP37" s="115"/>
      <c r="AQ37" s="115"/>
      <c r="AR37" s="115"/>
      <c r="AS37" s="115"/>
      <c r="AT37" s="115"/>
      <c r="AU37" s="115"/>
      <c r="AV37" s="115"/>
      <c r="AW37" s="115"/>
      <c r="AX37" s="115"/>
      <c r="AY37" s="115"/>
      <c r="AZ37" s="115"/>
      <c r="BA37" s="115"/>
      <c r="BB37" s="115"/>
      <c r="BC37" s="115"/>
      <c r="BD37" s="115"/>
      <c r="BE37" s="115"/>
      <c r="BF37" s="115"/>
      <c r="BG37" s="115"/>
      <c r="BH37" s="115"/>
      <c r="BI37" s="115"/>
      <c r="BJ37" s="115"/>
      <c r="BK37" s="115"/>
      <c r="BL37" s="115"/>
      <c r="BM37" s="115"/>
      <c r="BN37" s="115"/>
      <c r="BO37" s="115"/>
      <c r="BP37" s="115"/>
      <c r="BQ37" s="115"/>
      <c r="BR37" s="115"/>
      <c r="BS37" s="115"/>
      <c r="BT37" s="115"/>
      <c r="BU37" s="115"/>
      <c r="BV37" s="116"/>
    </row>
    <row r="38" spans="1:74" ht="90" x14ac:dyDescent="0.25">
      <c r="A38" s="45">
        <f xml:space="preserve"> A35 + 1</f>
        <v>33</v>
      </c>
      <c r="B38" s="45" t="s">
        <v>498</v>
      </c>
      <c r="C38" s="72"/>
      <c r="D38" s="72"/>
      <c r="E38" s="72"/>
      <c r="F38" s="72"/>
      <c r="G38" s="72"/>
      <c r="H38" s="72"/>
      <c r="I38" s="72"/>
      <c r="J38" s="72"/>
      <c r="K38" s="72"/>
      <c r="L38" s="72"/>
      <c r="M38" s="72"/>
      <c r="N38" s="72"/>
      <c r="O38" s="72"/>
      <c r="P38" s="72" t="s">
        <v>667</v>
      </c>
      <c r="Q38" s="72"/>
      <c r="R38" s="72"/>
      <c r="S38" s="72" t="s">
        <v>668</v>
      </c>
      <c r="T38" s="72"/>
      <c r="U38" s="72"/>
      <c r="V38" s="72"/>
      <c r="W38" s="72" t="s">
        <v>669</v>
      </c>
      <c r="X38" s="72"/>
      <c r="Y38" s="72"/>
      <c r="Z38" s="72"/>
      <c r="AA38" s="72"/>
      <c r="AB38" s="72"/>
      <c r="AC38" s="72"/>
      <c r="AD38" s="72"/>
      <c r="AE38" s="72"/>
      <c r="AF38" s="72"/>
      <c r="AG38" s="72"/>
      <c r="AH38" s="72"/>
      <c r="AI38" s="72"/>
      <c r="AJ38" s="72"/>
      <c r="AK38" s="72"/>
      <c r="AL38" s="72"/>
      <c r="AM38" s="72"/>
      <c r="AN38" s="72"/>
      <c r="AO38" s="72"/>
      <c r="AP38" s="72"/>
      <c r="AQ38" s="72"/>
      <c r="AR38" s="72"/>
      <c r="AS38" s="72"/>
      <c r="AT38" s="72"/>
      <c r="AU38" s="72"/>
      <c r="AV38" s="72"/>
      <c r="AW38" s="72"/>
      <c r="AX38" s="72"/>
      <c r="AY38" s="72"/>
      <c r="AZ38" s="72"/>
      <c r="BA38" s="72"/>
      <c r="BB38" s="72"/>
      <c r="BC38" s="72"/>
      <c r="BD38" s="72"/>
      <c r="BE38" s="72"/>
      <c r="BF38" s="72"/>
      <c r="BG38" s="72"/>
      <c r="BH38" s="72"/>
      <c r="BI38" s="72"/>
      <c r="BJ38" s="72"/>
      <c r="BK38" s="72"/>
      <c r="BL38" s="72"/>
      <c r="BM38" s="72"/>
      <c r="BN38" s="72"/>
      <c r="BO38" s="72"/>
      <c r="BP38" s="72"/>
      <c r="BQ38" s="72"/>
      <c r="BR38" s="72"/>
      <c r="BS38" s="72"/>
      <c r="BT38" s="72"/>
      <c r="BU38" s="72"/>
      <c r="BV38" s="72"/>
    </row>
    <row r="39" spans="1:74" ht="120" x14ac:dyDescent="0.25">
      <c r="A39" s="45">
        <f t="shared" ref="A39:A45" si="2">A38+1</f>
        <v>34</v>
      </c>
      <c r="B39" s="45" t="s">
        <v>499</v>
      </c>
      <c r="C39" s="72"/>
      <c r="D39" s="72"/>
      <c r="E39" s="72"/>
      <c r="F39" s="72"/>
      <c r="G39" s="72"/>
      <c r="H39" s="72"/>
      <c r="I39" s="72"/>
      <c r="J39" s="72"/>
      <c r="K39" s="72"/>
      <c r="L39" s="72" t="s">
        <v>673</v>
      </c>
      <c r="M39" s="72" t="s">
        <v>674</v>
      </c>
      <c r="N39" s="72" t="s">
        <v>675</v>
      </c>
      <c r="O39" s="72" t="s">
        <v>676</v>
      </c>
      <c r="P39" s="72" t="s">
        <v>677</v>
      </c>
      <c r="Q39" s="72"/>
      <c r="R39" s="72"/>
      <c r="S39" s="72" t="s">
        <v>678</v>
      </c>
      <c r="T39" s="72"/>
      <c r="U39" s="72"/>
      <c r="V39" s="72"/>
      <c r="W39" s="72" t="s">
        <v>679</v>
      </c>
      <c r="X39" s="72" t="s">
        <v>680</v>
      </c>
      <c r="Y39" s="72"/>
      <c r="Z39" s="72"/>
      <c r="AA39" s="72"/>
      <c r="AB39" s="72" t="s">
        <v>681</v>
      </c>
      <c r="AC39" s="72"/>
      <c r="AD39" s="72"/>
      <c r="AE39" s="72"/>
      <c r="AF39" s="72"/>
      <c r="AG39" s="72"/>
      <c r="AH39" s="72"/>
      <c r="AI39" s="72"/>
      <c r="AJ39" s="72" t="s">
        <v>682</v>
      </c>
      <c r="AK39" s="72"/>
      <c r="AL39" s="72"/>
      <c r="AM39" s="72"/>
      <c r="AN39" s="72"/>
      <c r="AO39" s="72" t="s">
        <v>683</v>
      </c>
      <c r="AP39" s="72"/>
      <c r="AQ39" s="72"/>
      <c r="AR39" s="72"/>
      <c r="AS39" s="72" t="s">
        <v>684</v>
      </c>
      <c r="AT39" s="72"/>
      <c r="AU39" s="72"/>
      <c r="AV39" s="72"/>
      <c r="AW39" s="72"/>
      <c r="AX39" s="72"/>
      <c r="AY39" s="72"/>
      <c r="AZ39" s="72"/>
      <c r="BA39" s="72"/>
      <c r="BB39" s="72"/>
      <c r="BC39" s="72"/>
      <c r="BD39" s="72"/>
      <c r="BE39" s="72" t="s">
        <v>685</v>
      </c>
      <c r="BF39" s="72"/>
      <c r="BG39" s="72"/>
      <c r="BH39" s="72"/>
      <c r="BI39" s="72"/>
      <c r="BJ39" s="72"/>
      <c r="BK39" s="72"/>
      <c r="BL39" s="72"/>
      <c r="BM39" s="72"/>
      <c r="BN39" s="72"/>
      <c r="BO39" s="72"/>
      <c r="BP39" s="72"/>
      <c r="BQ39" s="72"/>
      <c r="BR39" s="72"/>
      <c r="BS39" s="72"/>
      <c r="BT39" s="72"/>
      <c r="BU39" s="72"/>
      <c r="BV39" s="72"/>
    </row>
    <row r="40" spans="1:74" ht="60" customHeight="1" x14ac:dyDescent="0.25">
      <c r="A40" s="45">
        <f t="shared" si="2"/>
        <v>35</v>
      </c>
      <c r="B40" s="45" t="s">
        <v>0</v>
      </c>
      <c r="C40" s="72"/>
      <c r="D40" s="72"/>
      <c r="E40" s="72" t="s">
        <v>692</v>
      </c>
      <c r="F40" s="72"/>
      <c r="G40" s="72"/>
      <c r="H40" s="72"/>
      <c r="I40" s="101" t="s">
        <v>693</v>
      </c>
      <c r="J40" s="103"/>
      <c r="K40" s="103"/>
      <c r="L40" s="102"/>
      <c r="M40" s="72"/>
      <c r="N40" s="72" t="s">
        <v>694</v>
      </c>
      <c r="O40" s="72"/>
      <c r="P40" s="101" t="s">
        <v>695</v>
      </c>
      <c r="Q40" s="103"/>
      <c r="R40" s="103"/>
      <c r="S40" s="103"/>
      <c r="T40" s="103"/>
      <c r="U40" s="103"/>
      <c r="V40" s="102"/>
      <c r="W40" s="72" t="s">
        <v>696</v>
      </c>
      <c r="X40" s="101" t="s">
        <v>697</v>
      </c>
      <c r="Y40" s="102"/>
      <c r="Z40" s="72"/>
      <c r="AA40" s="72"/>
      <c r="AB40" s="72"/>
      <c r="AC40" s="72"/>
      <c r="AD40" s="72"/>
      <c r="AF40" s="72" t="s">
        <v>698</v>
      </c>
      <c r="AG40" s="72"/>
      <c r="AH40" s="72"/>
      <c r="AI40" s="101" t="s">
        <v>699</v>
      </c>
      <c r="AJ40" s="102"/>
      <c r="AK40" s="72" t="s">
        <v>700</v>
      </c>
      <c r="AL40" s="72"/>
      <c r="AM40" s="101" t="s">
        <v>701</v>
      </c>
      <c r="AN40" s="103"/>
      <c r="AO40" s="102"/>
      <c r="AP40" s="72" t="s">
        <v>702</v>
      </c>
      <c r="AQ40" s="101" t="s">
        <v>703</v>
      </c>
      <c r="AR40" s="102"/>
      <c r="AS40" s="72"/>
      <c r="AT40" s="101" t="s">
        <v>704</v>
      </c>
      <c r="AU40" s="102"/>
      <c r="AV40" s="72"/>
      <c r="AW40" s="101" t="s">
        <v>705</v>
      </c>
      <c r="AX40" s="103"/>
      <c r="AY40" s="103"/>
      <c r="AZ40" s="103"/>
      <c r="BA40" s="102"/>
      <c r="BB40" s="101" t="s">
        <v>706</v>
      </c>
      <c r="BC40" s="103"/>
      <c r="BD40" s="103"/>
      <c r="BE40" s="103"/>
      <c r="BF40" s="102"/>
      <c r="BG40" s="72"/>
      <c r="BH40" s="72" t="s">
        <v>707</v>
      </c>
      <c r="BI40" s="101" t="s">
        <v>708</v>
      </c>
      <c r="BJ40" s="103"/>
      <c r="BK40" s="103"/>
      <c r="BL40" s="103"/>
      <c r="BM40" s="102"/>
      <c r="BN40" s="72"/>
      <c r="BO40" s="72"/>
      <c r="BP40" s="72"/>
      <c r="BQ40" s="72"/>
      <c r="BR40" s="72"/>
      <c r="BS40" s="72"/>
      <c r="BT40" s="72"/>
      <c r="BU40" s="72"/>
      <c r="BV40" s="72"/>
    </row>
    <row r="41" spans="1:74" ht="75" x14ac:dyDescent="0.25">
      <c r="A41" s="45">
        <f t="shared" si="2"/>
        <v>36</v>
      </c>
      <c r="B41" s="45" t="s">
        <v>5</v>
      </c>
      <c r="C41" s="72"/>
      <c r="D41" s="72"/>
      <c r="E41" s="72"/>
      <c r="F41" s="72"/>
      <c r="G41" s="72"/>
      <c r="H41" s="72"/>
      <c r="I41" s="72"/>
      <c r="J41" s="72"/>
      <c r="K41" s="72"/>
      <c r="L41" s="72" t="s">
        <v>713</v>
      </c>
      <c r="M41" s="72"/>
      <c r="N41" s="72" t="s">
        <v>714</v>
      </c>
      <c r="O41" s="72"/>
      <c r="P41" s="72"/>
      <c r="Q41" s="72"/>
      <c r="R41" s="72"/>
      <c r="S41" s="72" t="s">
        <v>715</v>
      </c>
      <c r="T41" s="72"/>
      <c r="U41" s="72"/>
      <c r="V41" s="72"/>
      <c r="W41" s="72" t="s">
        <v>716</v>
      </c>
      <c r="X41" s="72"/>
      <c r="Y41" s="72"/>
      <c r="Z41" s="72"/>
      <c r="AA41" s="72"/>
      <c r="AB41" s="72"/>
      <c r="AC41" s="72"/>
      <c r="AD41" s="72" t="s">
        <v>717</v>
      </c>
      <c r="AE41" s="72"/>
      <c r="AF41" s="72"/>
      <c r="AG41" s="72"/>
      <c r="AH41" s="72"/>
      <c r="AI41" s="72"/>
      <c r="AJ41" s="72"/>
      <c r="AK41" s="72"/>
      <c r="AL41" s="72"/>
      <c r="AM41" s="72"/>
      <c r="AN41" s="72"/>
      <c r="AO41" s="72"/>
      <c r="AP41" s="72"/>
      <c r="AQ41" s="72" t="s">
        <v>718</v>
      </c>
      <c r="AR41" s="101" t="s">
        <v>719</v>
      </c>
      <c r="AS41" s="102"/>
      <c r="AT41" s="101" t="s">
        <v>720</v>
      </c>
      <c r="AU41" s="102"/>
      <c r="AV41" s="72"/>
      <c r="AW41" s="72"/>
      <c r="AX41" s="72"/>
      <c r="AY41" s="72"/>
      <c r="AZ41" s="72" t="s">
        <v>721</v>
      </c>
      <c r="BA41" s="72"/>
      <c r="BB41" s="72"/>
      <c r="BC41" s="72"/>
      <c r="BD41" s="72"/>
      <c r="BE41" s="72"/>
      <c r="BF41" s="72" t="s">
        <v>722</v>
      </c>
      <c r="BG41" s="72"/>
      <c r="BH41" s="72"/>
      <c r="BI41" s="72"/>
      <c r="BJ41" s="72"/>
      <c r="BK41" s="72"/>
      <c r="BL41" s="72"/>
      <c r="BM41" s="72"/>
      <c r="BN41" s="72"/>
      <c r="BO41" s="72"/>
      <c r="BP41" s="72"/>
      <c r="BQ41" s="72"/>
      <c r="BR41" s="72"/>
      <c r="BS41" s="72"/>
      <c r="BT41" s="72"/>
      <c r="BU41" s="72"/>
      <c r="BV41" s="72"/>
    </row>
    <row r="42" spans="1:74" ht="45" x14ac:dyDescent="0.25">
      <c r="A42" s="45">
        <f t="shared" si="2"/>
        <v>37</v>
      </c>
      <c r="B42" s="45" t="s">
        <v>8</v>
      </c>
      <c r="C42" s="72"/>
      <c r="D42" s="72"/>
      <c r="E42" s="72"/>
      <c r="F42" s="72"/>
      <c r="G42" s="72"/>
      <c r="H42" s="72"/>
      <c r="I42" s="72"/>
      <c r="J42" s="72" t="s">
        <v>1154</v>
      </c>
      <c r="K42" s="72"/>
      <c r="L42" s="72"/>
      <c r="M42" s="72"/>
      <c r="N42" s="72" t="s">
        <v>1155</v>
      </c>
      <c r="O42" s="72"/>
      <c r="P42" s="72"/>
      <c r="Q42" s="72"/>
      <c r="R42" s="72"/>
      <c r="S42" s="72"/>
      <c r="T42" s="72"/>
      <c r="U42" s="72"/>
      <c r="V42" s="72"/>
      <c r="W42" s="72"/>
      <c r="X42" s="72"/>
      <c r="Y42" s="72"/>
      <c r="Z42" s="72"/>
      <c r="AA42" s="72"/>
      <c r="AB42" s="72"/>
      <c r="AC42" s="72"/>
      <c r="AD42" s="72"/>
      <c r="AE42" s="72"/>
      <c r="AF42" s="72"/>
      <c r="AG42" s="72"/>
      <c r="AH42" s="72"/>
      <c r="AI42" s="72"/>
      <c r="AJ42" s="72"/>
      <c r="AK42" s="72"/>
      <c r="AL42" s="72"/>
      <c r="AM42" s="72"/>
      <c r="AN42" s="72"/>
      <c r="AO42" s="72"/>
      <c r="AP42" s="72"/>
      <c r="AQ42" s="72"/>
      <c r="AR42" s="72"/>
      <c r="AS42" s="72"/>
      <c r="AT42" s="72"/>
      <c r="AU42" s="72"/>
      <c r="AV42" s="72"/>
      <c r="AW42" s="72"/>
      <c r="AX42" s="72"/>
      <c r="AY42" s="72"/>
      <c r="AZ42" s="72"/>
      <c r="BA42" s="72" t="s">
        <v>1156</v>
      </c>
      <c r="BB42" s="72"/>
      <c r="BC42" s="72"/>
      <c r="BD42" s="72"/>
      <c r="BE42" s="72"/>
      <c r="BF42" s="72"/>
      <c r="BG42" s="72"/>
      <c r="BH42" s="72"/>
      <c r="BI42" s="72"/>
      <c r="BJ42" s="72"/>
      <c r="BK42" s="72"/>
      <c r="BL42" s="72"/>
      <c r="BM42" s="72"/>
      <c r="BN42" s="72"/>
      <c r="BO42" s="72"/>
      <c r="BP42" s="72"/>
      <c r="BQ42" s="72"/>
      <c r="BR42" s="72"/>
      <c r="BS42" s="72"/>
      <c r="BT42" s="72"/>
      <c r="BU42" s="72"/>
      <c r="BV42" s="72"/>
    </row>
    <row r="43" spans="1:74" ht="105" x14ac:dyDescent="0.25">
      <c r="A43" s="45">
        <f t="shared" si="2"/>
        <v>38</v>
      </c>
      <c r="B43" s="45" t="s">
        <v>510</v>
      </c>
      <c r="C43" s="72"/>
      <c r="D43" s="72"/>
      <c r="E43" s="72"/>
      <c r="F43" s="72"/>
      <c r="G43" s="72" t="s">
        <v>1131</v>
      </c>
      <c r="H43" s="72"/>
      <c r="I43" s="72"/>
      <c r="J43" s="72"/>
      <c r="K43" s="72"/>
      <c r="L43" s="72"/>
      <c r="M43" s="72"/>
      <c r="N43" s="72"/>
      <c r="O43" s="72"/>
      <c r="P43" s="72"/>
      <c r="Q43" s="72"/>
      <c r="R43" s="72"/>
      <c r="S43" s="72"/>
      <c r="T43" s="72"/>
      <c r="U43" s="72"/>
      <c r="V43" s="72"/>
      <c r="W43" s="72"/>
      <c r="X43" s="72" t="s">
        <v>1133</v>
      </c>
      <c r="Y43" s="72"/>
      <c r="Z43" s="72"/>
      <c r="AA43" s="72"/>
      <c r="AB43" s="72" t="s">
        <v>1132</v>
      </c>
      <c r="AC43" s="72"/>
      <c r="AD43" s="72"/>
      <c r="AE43" s="72"/>
      <c r="AF43" s="72"/>
      <c r="AG43" s="72"/>
      <c r="AH43" s="72"/>
      <c r="AI43" s="72"/>
      <c r="AJ43" s="72"/>
      <c r="AK43" s="72"/>
      <c r="AL43" s="72"/>
      <c r="AM43" s="72"/>
      <c r="AN43" s="72"/>
      <c r="AO43" s="72"/>
      <c r="AP43" s="72"/>
      <c r="AQ43" s="72"/>
      <c r="AR43" s="72"/>
      <c r="AS43" s="72"/>
      <c r="AT43" s="72"/>
      <c r="AU43" s="72"/>
      <c r="AV43" s="72"/>
      <c r="AW43" s="72"/>
      <c r="AX43" s="72"/>
      <c r="AY43" s="72"/>
      <c r="AZ43" s="72"/>
      <c r="BA43" s="72"/>
      <c r="BB43" s="72"/>
      <c r="BC43" s="72"/>
      <c r="BD43" s="72"/>
      <c r="BE43" s="72"/>
      <c r="BF43" s="72"/>
      <c r="BG43" s="72"/>
      <c r="BH43" s="72"/>
      <c r="BI43" s="72"/>
      <c r="BJ43" s="72"/>
      <c r="BK43" s="72"/>
      <c r="BL43" s="72"/>
      <c r="BM43" s="72"/>
      <c r="BN43" s="72"/>
      <c r="BO43" s="72"/>
      <c r="BP43" s="72"/>
      <c r="BQ43" s="72"/>
      <c r="BR43" s="72"/>
      <c r="BS43" s="72"/>
      <c r="BT43" s="72"/>
      <c r="BU43" s="72"/>
      <c r="BV43" s="72"/>
    </row>
    <row r="44" spans="1:74" ht="75" customHeight="1" x14ac:dyDescent="0.25">
      <c r="A44" s="45">
        <f t="shared" si="2"/>
        <v>39</v>
      </c>
      <c r="B44" s="45" t="s">
        <v>13</v>
      </c>
      <c r="C44" s="72"/>
      <c r="D44" s="72" t="s">
        <v>1185</v>
      </c>
      <c r="E44" s="72" t="s">
        <v>1186</v>
      </c>
      <c r="F44" s="72"/>
      <c r="G44" s="72" t="s">
        <v>1187</v>
      </c>
      <c r="H44" s="72" t="s">
        <v>1188</v>
      </c>
      <c r="I44" s="101" t="s">
        <v>1189</v>
      </c>
      <c r="J44" s="102"/>
      <c r="K44" s="72" t="s">
        <v>1190</v>
      </c>
      <c r="L44" s="72" t="s">
        <v>1191</v>
      </c>
      <c r="M44" s="72" t="s">
        <v>1192</v>
      </c>
      <c r="N44" s="72" t="s">
        <v>1193</v>
      </c>
      <c r="O44" s="72" t="s">
        <v>1195</v>
      </c>
      <c r="P44" s="72"/>
      <c r="Q44" s="72" t="s">
        <v>1194</v>
      </c>
      <c r="R44" s="101" t="s">
        <v>1196</v>
      </c>
      <c r="S44" s="103"/>
      <c r="T44" s="102"/>
      <c r="U44" s="101" t="s">
        <v>1197</v>
      </c>
      <c r="V44" s="102"/>
      <c r="W44" s="72" t="s">
        <v>1198</v>
      </c>
      <c r="X44" s="101" t="s">
        <v>1199</v>
      </c>
      <c r="Y44" s="102"/>
      <c r="Z44" s="72"/>
      <c r="AA44" s="72" t="s">
        <v>1200</v>
      </c>
      <c r="AB44" s="72"/>
      <c r="AC44" s="72"/>
      <c r="AD44" s="101" t="s">
        <v>1201</v>
      </c>
      <c r="AE44" s="103"/>
      <c r="AF44" s="102"/>
      <c r="AG44" s="101" t="s">
        <v>1202</v>
      </c>
      <c r="AH44" s="103"/>
      <c r="AI44" s="102"/>
      <c r="AJ44" s="101" t="s">
        <v>1203</v>
      </c>
      <c r="AK44" s="103"/>
      <c r="AL44" s="103"/>
      <c r="AM44" s="103"/>
      <c r="AN44" s="102"/>
      <c r="AO44" s="101" t="s">
        <v>1205</v>
      </c>
      <c r="AP44" s="102"/>
      <c r="AQ44" s="72" t="s">
        <v>1206</v>
      </c>
      <c r="AR44" s="101" t="s">
        <v>1204</v>
      </c>
      <c r="AS44" s="103"/>
      <c r="AT44" s="103"/>
      <c r="AU44" s="103"/>
      <c r="AV44" s="103"/>
      <c r="AW44" s="102"/>
      <c r="AX44" s="72"/>
      <c r="AY44" s="101" t="s">
        <v>1207</v>
      </c>
      <c r="AZ44" s="103"/>
      <c r="BA44" s="103"/>
      <c r="BB44" s="103"/>
      <c r="BC44" s="103"/>
      <c r="BD44" s="103"/>
      <c r="BE44" s="102"/>
      <c r="BF44" s="72"/>
      <c r="BG44" s="101" t="s">
        <v>1208</v>
      </c>
      <c r="BH44" s="102"/>
      <c r="BI44" s="72"/>
      <c r="BJ44" s="101" t="s">
        <v>1209</v>
      </c>
      <c r="BK44" s="103"/>
      <c r="BL44" s="103"/>
      <c r="BM44" s="102"/>
      <c r="BN44" s="72"/>
      <c r="BO44" s="72"/>
      <c r="BP44" s="72"/>
      <c r="BQ44" s="72"/>
      <c r="BR44" s="72"/>
      <c r="BS44" s="72"/>
      <c r="BT44" s="72"/>
      <c r="BU44" s="72"/>
      <c r="BV44" s="72"/>
    </row>
    <row r="45" spans="1:74" ht="180" customHeight="1" x14ac:dyDescent="0.25">
      <c r="A45" s="45">
        <f t="shared" si="2"/>
        <v>40</v>
      </c>
      <c r="B45" s="45" t="s">
        <v>14</v>
      </c>
      <c r="C45" s="72"/>
      <c r="D45" s="72"/>
      <c r="E45" s="72" t="s">
        <v>1225</v>
      </c>
      <c r="F45" s="72"/>
      <c r="G45" s="72"/>
      <c r="H45" s="72"/>
      <c r="I45" s="72"/>
      <c r="J45" s="72" t="s">
        <v>1226</v>
      </c>
      <c r="K45" s="72" t="s">
        <v>1227</v>
      </c>
      <c r="L45" s="72"/>
      <c r="M45" s="72"/>
      <c r="N45" s="72" t="s">
        <v>1228</v>
      </c>
      <c r="O45" s="72"/>
      <c r="P45" s="72"/>
      <c r="Q45" s="72"/>
      <c r="R45" s="72"/>
      <c r="S45" s="72" t="s">
        <v>1229</v>
      </c>
      <c r="T45" s="72"/>
      <c r="U45" s="72" t="s">
        <v>1230</v>
      </c>
      <c r="V45" s="72"/>
      <c r="W45" s="72" t="s">
        <v>1231</v>
      </c>
      <c r="X45" s="72"/>
      <c r="Y45" s="72"/>
      <c r="Z45" s="72"/>
      <c r="AA45" s="72"/>
      <c r="AB45" s="72"/>
      <c r="AC45" s="72"/>
      <c r="AD45" s="72"/>
      <c r="AE45" s="72"/>
      <c r="AF45" s="72"/>
      <c r="AG45" s="72"/>
      <c r="AH45" s="72"/>
      <c r="AI45" s="72"/>
      <c r="AJ45" s="72"/>
      <c r="AK45" s="72"/>
      <c r="AL45" s="72"/>
      <c r="AM45" s="72"/>
      <c r="AN45" s="72"/>
      <c r="AO45" s="72"/>
      <c r="AP45" s="72"/>
      <c r="AQ45" s="117" t="s">
        <v>1232</v>
      </c>
      <c r="AR45" s="118"/>
      <c r="AS45" s="118"/>
      <c r="AT45" s="119"/>
      <c r="AU45" s="72"/>
      <c r="AV45" s="72"/>
      <c r="AW45" s="72" t="s">
        <v>1233</v>
      </c>
      <c r="AX45" s="72"/>
      <c r="AY45" s="72"/>
      <c r="AZ45" s="72"/>
      <c r="BA45" s="72" t="s">
        <v>1234</v>
      </c>
      <c r="BB45" s="72"/>
      <c r="BC45" s="72"/>
      <c r="BD45" s="72"/>
      <c r="BE45" s="72"/>
      <c r="BF45" s="72"/>
      <c r="BG45" s="72"/>
      <c r="BH45" s="72"/>
      <c r="BI45" s="72"/>
      <c r="BJ45" s="72"/>
      <c r="BK45" s="72"/>
      <c r="BL45" s="72"/>
      <c r="BM45" s="72"/>
      <c r="BN45" s="72"/>
      <c r="BO45" s="72"/>
      <c r="BP45" s="72"/>
      <c r="BQ45" s="72"/>
      <c r="BR45" s="72"/>
      <c r="BS45" s="72"/>
      <c r="BT45" s="72"/>
      <c r="BU45" s="72"/>
      <c r="BV45" s="72"/>
    </row>
    <row r="46" spans="1:74" x14ac:dyDescent="0.25">
      <c r="A46" s="111" t="s">
        <v>691</v>
      </c>
      <c r="B46" s="112"/>
      <c r="C46" s="112"/>
      <c r="D46" s="112"/>
      <c r="E46" s="112"/>
      <c r="F46" s="112"/>
      <c r="G46" s="112"/>
      <c r="H46" s="112"/>
      <c r="I46" s="112"/>
      <c r="J46" s="112"/>
      <c r="K46" s="112"/>
      <c r="L46" s="112"/>
      <c r="M46" s="112"/>
      <c r="N46" s="112"/>
      <c r="O46" s="112"/>
      <c r="P46" s="112"/>
      <c r="Q46" s="112"/>
      <c r="R46" s="112"/>
      <c r="S46" s="112"/>
      <c r="T46" s="112"/>
      <c r="U46" s="112"/>
      <c r="V46" s="112"/>
      <c r="W46" s="112"/>
      <c r="X46" s="112"/>
      <c r="Y46" s="112"/>
      <c r="Z46" s="112"/>
      <c r="AA46" s="112"/>
      <c r="AB46" s="112"/>
      <c r="AC46" s="112"/>
      <c r="AD46" s="112"/>
      <c r="AE46" s="112"/>
      <c r="AF46" s="112"/>
      <c r="AG46" s="112"/>
      <c r="AH46" s="112"/>
      <c r="AI46" s="112"/>
      <c r="AJ46" s="112"/>
      <c r="AK46" s="112"/>
      <c r="AL46" s="112"/>
      <c r="AM46" s="112"/>
      <c r="AN46" s="112"/>
      <c r="AO46" s="112"/>
      <c r="AP46" s="112"/>
      <c r="AQ46" s="112"/>
      <c r="AR46" s="112"/>
      <c r="AS46" s="112"/>
      <c r="AT46" s="112"/>
      <c r="AU46" s="112"/>
      <c r="AV46" s="112"/>
      <c r="AW46" s="112"/>
      <c r="AX46" s="112"/>
      <c r="AY46" s="112"/>
      <c r="AZ46" s="112"/>
      <c r="BA46" s="112"/>
      <c r="BB46" s="112"/>
      <c r="BC46" s="112"/>
      <c r="BD46" s="112"/>
      <c r="BE46" s="112"/>
      <c r="BF46" s="112"/>
      <c r="BG46" s="112"/>
      <c r="BH46" s="112"/>
      <c r="BI46" s="112"/>
      <c r="BJ46" s="112"/>
      <c r="BK46" s="112"/>
      <c r="BL46" s="112"/>
      <c r="BM46" s="112"/>
      <c r="BN46" s="112"/>
      <c r="BO46" s="112"/>
      <c r="BP46" s="112"/>
      <c r="BQ46" s="112"/>
      <c r="BR46" s="112"/>
      <c r="BS46" s="112"/>
      <c r="BT46" s="112"/>
      <c r="BU46" s="112"/>
      <c r="BV46" s="113"/>
    </row>
    <row r="47" spans="1:74" x14ac:dyDescent="0.25">
      <c r="A47" s="114"/>
      <c r="B47" s="115"/>
      <c r="C47" s="115"/>
      <c r="D47" s="115"/>
      <c r="E47" s="115"/>
      <c r="F47" s="115"/>
      <c r="G47" s="115"/>
      <c r="H47" s="115"/>
      <c r="I47" s="115"/>
      <c r="J47" s="115"/>
      <c r="K47" s="115"/>
      <c r="L47" s="115"/>
      <c r="M47" s="115"/>
      <c r="N47" s="115"/>
      <c r="O47" s="115"/>
      <c r="P47" s="115"/>
      <c r="Q47" s="115"/>
      <c r="R47" s="115"/>
      <c r="S47" s="115"/>
      <c r="T47" s="115"/>
      <c r="U47" s="115"/>
      <c r="V47" s="115"/>
      <c r="W47" s="115"/>
      <c r="X47" s="115"/>
      <c r="Y47" s="115"/>
      <c r="Z47" s="115"/>
      <c r="AA47" s="115"/>
      <c r="AB47" s="115"/>
      <c r="AC47" s="115"/>
      <c r="AD47" s="115"/>
      <c r="AE47" s="115"/>
      <c r="AF47" s="115"/>
      <c r="AG47" s="115"/>
      <c r="AH47" s="115"/>
      <c r="AI47" s="115"/>
      <c r="AJ47" s="115"/>
      <c r="AK47" s="115"/>
      <c r="AL47" s="115"/>
      <c r="AM47" s="115"/>
      <c r="AN47" s="115"/>
      <c r="AO47" s="115"/>
      <c r="AP47" s="115"/>
      <c r="AQ47" s="115"/>
      <c r="AR47" s="115"/>
      <c r="AS47" s="115"/>
      <c r="AT47" s="115"/>
      <c r="AU47" s="115"/>
      <c r="AV47" s="115"/>
      <c r="AW47" s="115"/>
      <c r="AX47" s="115"/>
      <c r="AY47" s="115"/>
      <c r="AZ47" s="115"/>
      <c r="BA47" s="115"/>
      <c r="BB47" s="115"/>
      <c r="BC47" s="115"/>
      <c r="BD47" s="115"/>
      <c r="BE47" s="115"/>
      <c r="BF47" s="115"/>
      <c r="BG47" s="115"/>
      <c r="BH47" s="115"/>
      <c r="BI47" s="115"/>
      <c r="BJ47" s="115"/>
      <c r="BK47" s="115"/>
      <c r="BL47" s="115"/>
      <c r="BM47" s="115"/>
      <c r="BN47" s="115"/>
      <c r="BO47" s="115"/>
      <c r="BP47" s="115"/>
      <c r="BQ47" s="115"/>
      <c r="BR47" s="115"/>
      <c r="BS47" s="115"/>
      <c r="BT47" s="115"/>
      <c r="BU47" s="115"/>
      <c r="BV47" s="116"/>
    </row>
    <row r="48" spans="1:74" ht="60" x14ac:dyDescent="0.25">
      <c r="A48" s="45">
        <f xml:space="preserve"> A45 + 1</f>
        <v>41</v>
      </c>
      <c r="B48" s="45" t="s">
        <v>498</v>
      </c>
      <c r="C48" s="72"/>
      <c r="D48" s="72"/>
      <c r="E48" s="72"/>
      <c r="F48" s="72"/>
      <c r="G48" s="72"/>
      <c r="H48" s="72"/>
      <c r="I48" s="72"/>
      <c r="J48" s="72"/>
      <c r="K48" s="72"/>
      <c r="L48" s="72"/>
      <c r="M48" s="72"/>
      <c r="N48" s="72"/>
      <c r="O48" s="72"/>
      <c r="P48" s="72"/>
      <c r="Q48" s="72"/>
      <c r="R48" s="72"/>
      <c r="S48" s="72"/>
      <c r="T48" s="72"/>
      <c r="U48" s="72"/>
      <c r="V48" s="72"/>
      <c r="W48" s="72"/>
      <c r="X48" s="72"/>
      <c r="Y48" s="72"/>
      <c r="Z48" s="72"/>
      <c r="AA48" s="72"/>
      <c r="AB48" s="72"/>
      <c r="AC48" s="72"/>
      <c r="AD48" s="72"/>
      <c r="AE48" s="72"/>
      <c r="AF48" s="72"/>
      <c r="AG48" s="72"/>
      <c r="AH48" s="72"/>
      <c r="AI48" s="72"/>
      <c r="AJ48" s="72"/>
      <c r="AK48" s="72"/>
      <c r="AL48" s="72"/>
      <c r="AM48" s="72"/>
      <c r="AN48" s="72"/>
      <c r="AO48" s="72"/>
      <c r="AP48" s="72"/>
      <c r="AQ48" s="72"/>
      <c r="AR48" s="72"/>
      <c r="AS48" s="72"/>
      <c r="AT48" s="72"/>
      <c r="AU48" s="72"/>
      <c r="AV48" s="72"/>
      <c r="AW48" s="72"/>
      <c r="AX48" s="72"/>
      <c r="AY48" s="72"/>
      <c r="AZ48" s="72"/>
      <c r="BA48" s="72"/>
      <c r="BB48" s="72"/>
      <c r="BC48" s="72"/>
      <c r="BD48" s="72"/>
      <c r="BE48" s="72"/>
      <c r="BF48" s="72"/>
      <c r="BG48" s="72"/>
      <c r="BH48" s="72"/>
      <c r="BI48" s="72"/>
      <c r="BJ48" s="72"/>
      <c r="BK48" s="72"/>
      <c r="BL48" s="72" t="s">
        <v>724</v>
      </c>
      <c r="BM48" s="72"/>
      <c r="BN48" s="72"/>
      <c r="BO48" s="72"/>
      <c r="BP48" s="72"/>
      <c r="BQ48" s="72"/>
      <c r="BR48" s="72"/>
      <c r="BS48" s="72"/>
      <c r="BT48" s="72"/>
      <c r="BU48" s="72"/>
      <c r="BV48" s="72"/>
    </row>
    <row r="49" spans="1:74" ht="105" customHeight="1" x14ac:dyDescent="0.25">
      <c r="A49" s="45">
        <f t="shared" ref="A49:A51" si="3">A48+1</f>
        <v>42</v>
      </c>
      <c r="B49" s="45" t="s">
        <v>5</v>
      </c>
      <c r="C49" s="72"/>
      <c r="D49" s="72"/>
      <c r="E49" s="72"/>
      <c r="F49" s="72"/>
      <c r="G49" s="72"/>
      <c r="H49" s="72"/>
      <c r="I49" s="72"/>
      <c r="J49" s="72"/>
      <c r="K49" s="72"/>
      <c r="L49" s="72"/>
      <c r="M49" s="72"/>
      <c r="N49" s="72"/>
      <c r="O49" s="72"/>
      <c r="P49" s="72"/>
      <c r="Q49" s="72"/>
      <c r="R49" s="72"/>
      <c r="S49" s="72"/>
      <c r="T49" s="72"/>
      <c r="U49" s="72"/>
      <c r="V49" s="72" t="s">
        <v>726</v>
      </c>
      <c r="W49" s="72"/>
      <c r="X49" s="101" t="s">
        <v>727</v>
      </c>
      <c r="Y49" s="102"/>
      <c r="Z49" s="72"/>
      <c r="AA49" s="72"/>
      <c r="AB49" s="72"/>
      <c r="AC49" s="70" t="s">
        <v>728</v>
      </c>
      <c r="AD49" s="71" t="s">
        <v>729</v>
      </c>
      <c r="AE49" s="72"/>
      <c r="AF49" s="72"/>
      <c r="AG49" s="72"/>
      <c r="AH49" s="72"/>
      <c r="AI49" s="72" t="s">
        <v>730</v>
      </c>
      <c r="AJ49" s="72"/>
      <c r="AK49" s="72"/>
      <c r="AL49" s="72"/>
      <c r="AM49" s="72"/>
      <c r="AN49" s="72"/>
      <c r="AO49" s="72"/>
      <c r="AP49" s="72"/>
      <c r="AQ49" s="72"/>
      <c r="AR49" s="72"/>
      <c r="AS49" s="72"/>
      <c r="AT49" s="72"/>
      <c r="AU49" s="72"/>
      <c r="AV49" s="72"/>
      <c r="AW49" s="72"/>
      <c r="AX49" s="72"/>
      <c r="AY49" s="72"/>
      <c r="AZ49" s="72"/>
      <c r="BA49" s="72"/>
      <c r="BB49" s="72"/>
      <c r="BC49" s="72"/>
      <c r="BD49" s="72"/>
      <c r="BE49" s="72"/>
      <c r="BF49" s="72" t="s">
        <v>731</v>
      </c>
      <c r="BG49" s="101" t="s">
        <v>732</v>
      </c>
      <c r="BH49" s="103"/>
      <c r="BI49" s="103"/>
      <c r="BJ49" s="103"/>
      <c r="BK49" s="103"/>
      <c r="BL49" s="102"/>
      <c r="BM49" s="72"/>
      <c r="BN49" s="72"/>
      <c r="BO49" s="72"/>
      <c r="BP49" s="72"/>
      <c r="BQ49" s="72"/>
      <c r="BR49" s="72"/>
      <c r="BS49" s="72"/>
      <c r="BT49" s="72"/>
      <c r="BU49" s="72"/>
      <c r="BV49" s="72"/>
    </row>
    <row r="50" spans="1:74" ht="90" x14ac:dyDescent="0.25">
      <c r="A50" s="45">
        <f t="shared" si="3"/>
        <v>43</v>
      </c>
      <c r="B50" s="45" t="s">
        <v>8</v>
      </c>
      <c r="C50" s="72"/>
      <c r="D50" s="72"/>
      <c r="E50" s="72"/>
      <c r="F50" s="72"/>
      <c r="G50" s="72"/>
      <c r="H50" s="72"/>
      <c r="I50" s="72"/>
      <c r="J50" s="72"/>
      <c r="K50" s="72"/>
      <c r="L50" s="72"/>
      <c r="M50" s="72"/>
      <c r="N50" s="72"/>
      <c r="O50" s="72"/>
      <c r="P50" s="72"/>
      <c r="Q50" s="72"/>
      <c r="R50" s="72"/>
      <c r="S50" s="72"/>
      <c r="T50" s="72"/>
      <c r="U50" s="72"/>
      <c r="V50" s="72"/>
      <c r="W50" s="72"/>
      <c r="X50" s="72" t="s">
        <v>1262</v>
      </c>
      <c r="Y50" s="72"/>
      <c r="Z50" s="72"/>
      <c r="AA50" s="72"/>
      <c r="AB50" s="72"/>
      <c r="AC50" s="72"/>
      <c r="AD50" s="72" t="s">
        <v>1263</v>
      </c>
      <c r="AE50" s="72"/>
      <c r="AF50" s="72"/>
      <c r="AG50" s="72"/>
      <c r="AH50" s="72"/>
      <c r="AI50" s="72"/>
      <c r="AJ50" s="72"/>
      <c r="AK50" s="72"/>
      <c r="AL50" s="72"/>
      <c r="AM50" s="72"/>
      <c r="AN50" s="72"/>
      <c r="AO50" s="72"/>
      <c r="AP50" s="72"/>
      <c r="AQ50" s="72"/>
      <c r="AR50" s="72"/>
      <c r="AS50" s="72"/>
      <c r="AT50" s="72"/>
      <c r="AU50" s="72"/>
      <c r="AV50" s="72"/>
      <c r="AW50" s="72"/>
      <c r="AX50" s="72"/>
      <c r="AY50" s="72"/>
      <c r="AZ50" s="72"/>
      <c r="BA50" s="72"/>
      <c r="BB50" s="72"/>
      <c r="BC50" s="72"/>
      <c r="BD50" s="72"/>
      <c r="BE50" s="72" t="s">
        <v>1264</v>
      </c>
      <c r="BF50" s="72"/>
      <c r="BG50" s="72"/>
      <c r="BH50" s="72"/>
      <c r="BI50" s="72" t="s">
        <v>1265</v>
      </c>
      <c r="BJ50" s="72"/>
      <c r="BK50" s="72"/>
      <c r="BL50" s="72" t="s">
        <v>1266</v>
      </c>
      <c r="BM50" s="72"/>
      <c r="BN50" s="72"/>
      <c r="BO50" s="72"/>
      <c r="BP50" s="72"/>
      <c r="BQ50" s="72"/>
      <c r="BR50" s="72"/>
      <c r="BS50" s="72"/>
      <c r="BT50" s="72"/>
      <c r="BU50" s="72"/>
      <c r="BV50" s="72"/>
    </row>
    <row r="51" spans="1:74" ht="180" x14ac:dyDescent="0.25">
      <c r="A51" s="45">
        <f t="shared" si="3"/>
        <v>44</v>
      </c>
      <c r="B51" s="45" t="s">
        <v>510</v>
      </c>
      <c r="C51" s="72"/>
      <c r="D51" s="72"/>
      <c r="E51" s="72"/>
      <c r="F51" s="72"/>
      <c r="G51" s="72"/>
      <c r="H51" s="72"/>
      <c r="I51" s="72"/>
      <c r="J51" s="72"/>
      <c r="K51" s="72"/>
      <c r="L51" s="72"/>
      <c r="M51" s="72"/>
      <c r="N51" s="72"/>
      <c r="O51" s="72"/>
      <c r="P51" s="72"/>
      <c r="Q51" s="72"/>
      <c r="R51" s="72"/>
      <c r="S51" s="72"/>
      <c r="T51" s="72"/>
      <c r="U51" s="72"/>
      <c r="V51" s="72"/>
      <c r="W51" s="72"/>
      <c r="X51" s="72"/>
      <c r="Y51" s="72"/>
      <c r="Z51" s="72"/>
      <c r="AA51" s="72"/>
      <c r="AB51" s="72"/>
      <c r="AC51" s="72"/>
      <c r="AD51" s="72" t="s">
        <v>1237</v>
      </c>
      <c r="AE51" s="72"/>
      <c r="AF51" s="72"/>
      <c r="AG51" s="72"/>
      <c r="AH51" s="72"/>
      <c r="AI51" s="72"/>
      <c r="AJ51" s="72"/>
      <c r="AK51" s="72"/>
      <c r="AL51" s="72"/>
      <c r="AM51" s="72"/>
      <c r="AN51" s="72"/>
      <c r="AO51" s="72"/>
      <c r="AP51" s="72"/>
      <c r="AQ51" s="72" t="s">
        <v>1238</v>
      </c>
      <c r="AR51" s="72"/>
      <c r="AS51" s="72"/>
      <c r="AT51" s="72"/>
      <c r="AU51" s="72"/>
      <c r="AV51" s="72"/>
      <c r="AW51" s="72"/>
      <c r="AX51" s="72"/>
      <c r="AY51" s="72"/>
      <c r="AZ51" s="72"/>
      <c r="BA51" s="72"/>
      <c r="BB51" s="72"/>
      <c r="BC51" s="72"/>
      <c r="BD51" s="72"/>
      <c r="BE51" s="72"/>
      <c r="BF51" s="72"/>
      <c r="BG51" s="72"/>
      <c r="BH51" s="72"/>
      <c r="BI51" s="72"/>
      <c r="BJ51" s="72"/>
      <c r="BK51" s="72" t="s">
        <v>1239</v>
      </c>
      <c r="BL51" s="72"/>
      <c r="BM51" s="72"/>
      <c r="BN51" s="72"/>
      <c r="BO51" s="72"/>
      <c r="BP51" s="72"/>
      <c r="BQ51" s="72"/>
      <c r="BR51" s="72"/>
      <c r="BS51" s="72"/>
      <c r="BT51" s="72"/>
      <c r="BU51" s="72"/>
      <c r="BV51" s="72"/>
    </row>
    <row r="53" spans="1:74" x14ac:dyDescent="0.25">
      <c r="A53" s="47" t="s">
        <v>92</v>
      </c>
    </row>
    <row r="54" spans="1:74" ht="120" x14ac:dyDescent="0.25">
      <c r="A54" s="47" t="s">
        <v>93</v>
      </c>
    </row>
    <row r="55" spans="1:74" ht="120" x14ac:dyDescent="0.25">
      <c r="A55" s="47" t="s">
        <v>850</v>
      </c>
    </row>
  </sheetData>
  <mergeCells count="163">
    <mergeCell ref="AR44:AW44"/>
    <mergeCell ref="AY44:BE44"/>
    <mergeCell ref="BG44:BH44"/>
    <mergeCell ref="BJ44:BM44"/>
    <mergeCell ref="C22:E22"/>
    <mergeCell ref="L35:N35"/>
    <mergeCell ref="BR35:BS35"/>
    <mergeCell ref="H22:L22"/>
    <mergeCell ref="AC22:AD22"/>
    <mergeCell ref="AF22:AH22"/>
    <mergeCell ref="AG30:AH30"/>
    <mergeCell ref="BP30:BS30"/>
    <mergeCell ref="F33:G33"/>
    <mergeCell ref="Z33:AA33"/>
    <mergeCell ref="AB33:AC33"/>
    <mergeCell ref="AE33:AF33"/>
    <mergeCell ref="F34:H34"/>
    <mergeCell ref="I34:L34"/>
    <mergeCell ref="A36:BV37"/>
    <mergeCell ref="F29:G29"/>
    <mergeCell ref="AP32:AQ32"/>
    <mergeCell ref="BU27:BV27"/>
    <mergeCell ref="X49:Y49"/>
    <mergeCell ref="BG49:BL49"/>
    <mergeCell ref="A46:BV47"/>
    <mergeCell ref="I40:L40"/>
    <mergeCell ref="P40:V40"/>
    <mergeCell ref="X40:Y40"/>
    <mergeCell ref="AI40:AJ40"/>
    <mergeCell ref="AM40:AO40"/>
    <mergeCell ref="AQ40:AR40"/>
    <mergeCell ref="AT40:AU40"/>
    <mergeCell ref="AW40:BA40"/>
    <mergeCell ref="BB40:BF40"/>
    <mergeCell ref="BI40:BM40"/>
    <mergeCell ref="AR41:AS41"/>
    <mergeCell ref="AT41:AU41"/>
    <mergeCell ref="I44:J44"/>
    <mergeCell ref="R44:T44"/>
    <mergeCell ref="U44:V44"/>
    <mergeCell ref="X44:Y44"/>
    <mergeCell ref="AD44:AF44"/>
    <mergeCell ref="AG44:AI44"/>
    <mergeCell ref="AQ45:AT45"/>
    <mergeCell ref="AJ44:AN44"/>
    <mergeCell ref="AO44:AP44"/>
    <mergeCell ref="BO21:BQ21"/>
    <mergeCell ref="AQ19:AW19"/>
    <mergeCell ref="U20:V20"/>
    <mergeCell ref="I21:O21"/>
    <mergeCell ref="R21:T21"/>
    <mergeCell ref="AA21:AF21"/>
    <mergeCell ref="AK21:AN21"/>
    <mergeCell ref="AR21:AS21"/>
    <mergeCell ref="AV21:AW21"/>
    <mergeCell ref="BE21:BF21"/>
    <mergeCell ref="BJ21:BM21"/>
    <mergeCell ref="F19:I19"/>
    <mergeCell ref="L19:O19"/>
    <mergeCell ref="Q19:U19"/>
    <mergeCell ref="W19:Y19"/>
    <mergeCell ref="AL19:AM19"/>
    <mergeCell ref="K15:L15"/>
    <mergeCell ref="AK15:AL15"/>
    <mergeCell ref="AT15:AU15"/>
    <mergeCell ref="AP16:AQ16"/>
    <mergeCell ref="F13:H13"/>
    <mergeCell ref="R13:S13"/>
    <mergeCell ref="U13:V13"/>
    <mergeCell ref="Y13:AB13"/>
    <mergeCell ref="AE13:AH13"/>
    <mergeCell ref="AO13:AP13"/>
    <mergeCell ref="F18:G18"/>
    <mergeCell ref="L18:P18"/>
    <mergeCell ref="R18:S18"/>
    <mergeCell ref="T18:U18"/>
    <mergeCell ref="AG18:AH18"/>
    <mergeCell ref="AO17:AQ17"/>
    <mergeCell ref="AR17:AV17"/>
    <mergeCell ref="F17:H17"/>
    <mergeCell ref="J17:O17"/>
    <mergeCell ref="P17:Q17"/>
    <mergeCell ref="U17:V17"/>
    <mergeCell ref="W17:X17"/>
    <mergeCell ref="Z17:AA17"/>
    <mergeCell ref="AE10:AF10"/>
    <mergeCell ref="BH8:BJ8"/>
    <mergeCell ref="BL8:BM8"/>
    <mergeCell ref="D4:L4"/>
    <mergeCell ref="P4:V4"/>
    <mergeCell ref="Y4:AE4"/>
    <mergeCell ref="BE13:BF13"/>
    <mergeCell ref="M11:O11"/>
    <mergeCell ref="Q11:AA11"/>
    <mergeCell ref="AB11:AC11"/>
    <mergeCell ref="AE11:AF11"/>
    <mergeCell ref="AG11:AH11"/>
    <mergeCell ref="D5:K5"/>
    <mergeCell ref="M5:O5"/>
    <mergeCell ref="Q5:U5"/>
    <mergeCell ref="W5:X5"/>
    <mergeCell ref="AF5:AL5"/>
    <mergeCell ref="AP5:AR5"/>
    <mergeCell ref="BB5:BC5"/>
    <mergeCell ref="BG4:BN4"/>
    <mergeCell ref="BQ18:BR18"/>
    <mergeCell ref="AW17:AY17"/>
    <mergeCell ref="BK17:BL17"/>
    <mergeCell ref="BP17:BT17"/>
    <mergeCell ref="BO5:BP5"/>
    <mergeCell ref="BR5:BS5"/>
    <mergeCell ref="F14:AB14"/>
    <mergeCell ref="AD14:AH14"/>
    <mergeCell ref="AI14:BK14"/>
    <mergeCell ref="BL14:BO14"/>
    <mergeCell ref="BP14:BS14"/>
    <mergeCell ref="AP11:AQ11"/>
    <mergeCell ref="M6:N6"/>
    <mergeCell ref="Q6:R6"/>
    <mergeCell ref="AF6:AH6"/>
    <mergeCell ref="BS7:BT7"/>
    <mergeCell ref="H9:O9"/>
    <mergeCell ref="R9:S9"/>
    <mergeCell ref="U9:X9"/>
    <mergeCell ref="AB9:AH9"/>
    <mergeCell ref="AP9:AQ9"/>
    <mergeCell ref="AS9:AZ9"/>
    <mergeCell ref="BB9:BF9"/>
    <mergeCell ref="AA10:AB10"/>
    <mergeCell ref="BU5:BV5"/>
    <mergeCell ref="BM11:BR11"/>
    <mergeCell ref="BU11:BV11"/>
    <mergeCell ref="BO13:BS13"/>
    <mergeCell ref="BU17:BV17"/>
    <mergeCell ref="BP15:BQ15"/>
    <mergeCell ref="BP16:BQ16"/>
    <mergeCell ref="BU13:BV13"/>
    <mergeCell ref="BU4:BV4"/>
    <mergeCell ref="BU14:BV14"/>
    <mergeCell ref="A2:BV3"/>
    <mergeCell ref="F24:G24"/>
    <mergeCell ref="K24:L24"/>
    <mergeCell ref="AS24:AT24"/>
    <mergeCell ref="BL24:BM24"/>
    <mergeCell ref="Y25:Z25"/>
    <mergeCell ref="BM25:BN25"/>
    <mergeCell ref="BP25:BR25"/>
    <mergeCell ref="BI28:BJ28"/>
    <mergeCell ref="BP28:BV28"/>
    <mergeCell ref="G8:J8"/>
    <mergeCell ref="L8:O8"/>
    <mergeCell ref="AL8:AV8"/>
    <mergeCell ref="AW8:AZ8"/>
    <mergeCell ref="BB8:BG8"/>
    <mergeCell ref="BH9:BJ9"/>
    <mergeCell ref="BP9:BT9"/>
    <mergeCell ref="BU9:BV9"/>
    <mergeCell ref="BO8:BV8"/>
    <mergeCell ref="BP22:BR22"/>
    <mergeCell ref="BP23:BQ23"/>
    <mergeCell ref="BU23:BV23"/>
    <mergeCell ref="AG4:AH4"/>
    <mergeCell ref="AT4:BB4"/>
  </mergeCells>
  <pageMargins left="0.7" right="0.7" top="0.75" bottom="0.75" header="0.3" footer="0.3"/>
  <pageSetup orientation="portrait" horizontalDpi="4294967292"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Q38"/>
  <sheetViews>
    <sheetView workbookViewId="0">
      <pane xSplit="2" ySplit="1" topLeftCell="C2" activePane="bottomRight" state="frozen"/>
      <selection pane="topRight" activeCell="C1" sqref="C1"/>
      <selection pane="bottomLeft" activeCell="A2" sqref="A2"/>
      <selection pane="bottomRight" activeCell="E30" sqref="E30"/>
    </sheetView>
  </sheetViews>
  <sheetFormatPr defaultColWidth="5.7109375" defaultRowHeight="15" x14ac:dyDescent="0.25"/>
  <cols>
    <col min="1" max="1" width="5.28515625" style="1" customWidth="1"/>
    <col min="2" max="2" width="11.5703125" style="1" customWidth="1"/>
    <col min="3" max="3" width="5.7109375" style="1" customWidth="1"/>
    <col min="4" max="74" width="5.7109375" style="1"/>
    <col min="75" max="224" width="5.7109375" style="15"/>
    <col min="225" max="16384" width="5.7109375" style="1"/>
  </cols>
  <sheetData>
    <row r="1" spans="1:225" s="6" customFormat="1" ht="15" customHeight="1" x14ac:dyDescent="0.25">
      <c r="A1" s="7"/>
      <c r="B1" s="7"/>
      <c r="C1" s="7">
        <v>1</v>
      </c>
      <c r="D1" s="7">
        <f>C1+1</f>
        <v>2</v>
      </c>
      <c r="E1" s="7">
        <f t="shared" ref="E1:BP1" si="0">D1+1</f>
        <v>3</v>
      </c>
      <c r="F1" s="7">
        <f t="shared" si="0"/>
        <v>4</v>
      </c>
      <c r="G1" s="7">
        <f t="shared" si="0"/>
        <v>5</v>
      </c>
      <c r="H1" s="7">
        <f t="shared" si="0"/>
        <v>6</v>
      </c>
      <c r="I1" s="7">
        <f t="shared" si="0"/>
        <v>7</v>
      </c>
      <c r="J1" s="7">
        <f t="shared" si="0"/>
        <v>8</v>
      </c>
      <c r="K1" s="7">
        <f t="shared" si="0"/>
        <v>9</v>
      </c>
      <c r="L1" s="7">
        <f t="shared" si="0"/>
        <v>10</v>
      </c>
      <c r="M1" s="7">
        <f t="shared" si="0"/>
        <v>11</v>
      </c>
      <c r="N1" s="7">
        <f t="shared" si="0"/>
        <v>12</v>
      </c>
      <c r="O1" s="7">
        <f t="shared" si="0"/>
        <v>13</v>
      </c>
      <c r="P1" s="7">
        <f t="shared" si="0"/>
        <v>14</v>
      </c>
      <c r="Q1" s="7">
        <f t="shared" si="0"/>
        <v>15</v>
      </c>
      <c r="R1" s="7">
        <f t="shared" si="0"/>
        <v>16</v>
      </c>
      <c r="S1" s="7">
        <f t="shared" si="0"/>
        <v>17</v>
      </c>
      <c r="T1" s="7">
        <f t="shared" si="0"/>
        <v>18</v>
      </c>
      <c r="U1" s="7">
        <f t="shared" si="0"/>
        <v>19</v>
      </c>
      <c r="V1" s="7">
        <f t="shared" si="0"/>
        <v>20</v>
      </c>
      <c r="W1" s="7">
        <f t="shared" si="0"/>
        <v>21</v>
      </c>
      <c r="X1" s="7">
        <f t="shared" si="0"/>
        <v>22</v>
      </c>
      <c r="Y1" s="7">
        <f t="shared" si="0"/>
        <v>23</v>
      </c>
      <c r="Z1" s="7">
        <f t="shared" si="0"/>
        <v>24</v>
      </c>
      <c r="AA1" s="7">
        <f t="shared" si="0"/>
        <v>25</v>
      </c>
      <c r="AB1" s="7">
        <f t="shared" si="0"/>
        <v>26</v>
      </c>
      <c r="AC1" s="7">
        <f t="shared" si="0"/>
        <v>27</v>
      </c>
      <c r="AD1" s="7">
        <f t="shared" si="0"/>
        <v>28</v>
      </c>
      <c r="AE1" s="7">
        <f t="shared" si="0"/>
        <v>29</v>
      </c>
      <c r="AF1" s="7">
        <f t="shared" si="0"/>
        <v>30</v>
      </c>
      <c r="AG1" s="7">
        <f t="shared" si="0"/>
        <v>31</v>
      </c>
      <c r="AH1" s="7">
        <f t="shared" si="0"/>
        <v>32</v>
      </c>
      <c r="AI1" s="7">
        <f t="shared" si="0"/>
        <v>33</v>
      </c>
      <c r="AJ1" s="7">
        <f t="shared" si="0"/>
        <v>34</v>
      </c>
      <c r="AK1" s="7">
        <f t="shared" si="0"/>
        <v>35</v>
      </c>
      <c r="AL1" s="7">
        <f t="shared" si="0"/>
        <v>36</v>
      </c>
      <c r="AM1" s="7">
        <f t="shared" si="0"/>
        <v>37</v>
      </c>
      <c r="AN1" s="7">
        <f t="shared" si="0"/>
        <v>38</v>
      </c>
      <c r="AO1" s="7">
        <f t="shared" si="0"/>
        <v>39</v>
      </c>
      <c r="AP1" s="7">
        <f t="shared" si="0"/>
        <v>40</v>
      </c>
      <c r="AQ1" s="7">
        <f t="shared" si="0"/>
        <v>41</v>
      </c>
      <c r="AR1" s="7">
        <f t="shared" si="0"/>
        <v>42</v>
      </c>
      <c r="AS1" s="7">
        <f t="shared" si="0"/>
        <v>43</v>
      </c>
      <c r="AT1" s="7">
        <f t="shared" si="0"/>
        <v>44</v>
      </c>
      <c r="AU1" s="7">
        <f t="shared" si="0"/>
        <v>45</v>
      </c>
      <c r="AV1" s="7">
        <f t="shared" si="0"/>
        <v>46</v>
      </c>
      <c r="AW1" s="7">
        <f t="shared" si="0"/>
        <v>47</v>
      </c>
      <c r="AX1" s="7">
        <f t="shared" si="0"/>
        <v>48</v>
      </c>
      <c r="AY1" s="7">
        <f t="shared" si="0"/>
        <v>49</v>
      </c>
      <c r="AZ1" s="7">
        <f t="shared" si="0"/>
        <v>50</v>
      </c>
      <c r="BA1" s="7">
        <f t="shared" si="0"/>
        <v>51</v>
      </c>
      <c r="BB1" s="7">
        <f t="shared" si="0"/>
        <v>52</v>
      </c>
      <c r="BC1" s="7">
        <f t="shared" si="0"/>
        <v>53</v>
      </c>
      <c r="BD1" s="7">
        <f t="shared" si="0"/>
        <v>54</v>
      </c>
      <c r="BE1" s="7">
        <f t="shared" si="0"/>
        <v>55</v>
      </c>
      <c r="BF1" s="7">
        <f>BE1+1</f>
        <v>56</v>
      </c>
      <c r="BG1" s="7">
        <f t="shared" si="0"/>
        <v>57</v>
      </c>
      <c r="BH1" s="7">
        <f t="shared" si="0"/>
        <v>58</v>
      </c>
      <c r="BI1" s="7">
        <f t="shared" si="0"/>
        <v>59</v>
      </c>
      <c r="BJ1" s="7">
        <f t="shared" si="0"/>
        <v>60</v>
      </c>
      <c r="BK1" s="7">
        <f t="shared" si="0"/>
        <v>61</v>
      </c>
      <c r="BL1" s="7">
        <f t="shared" si="0"/>
        <v>62</v>
      </c>
      <c r="BM1" s="7">
        <f t="shared" si="0"/>
        <v>63</v>
      </c>
      <c r="BN1" s="7">
        <f t="shared" si="0"/>
        <v>64</v>
      </c>
      <c r="BO1" s="7">
        <f t="shared" si="0"/>
        <v>65</v>
      </c>
      <c r="BP1" s="7">
        <f t="shared" si="0"/>
        <v>66</v>
      </c>
      <c r="BQ1" s="7">
        <f>BP1+1</f>
        <v>67</v>
      </c>
      <c r="BR1" s="7">
        <f>BQ1+1</f>
        <v>68</v>
      </c>
      <c r="BS1" s="7">
        <f>BR1+1</f>
        <v>69</v>
      </c>
      <c r="BT1" s="7">
        <f>BS1+1</f>
        <v>70</v>
      </c>
      <c r="BU1" s="7">
        <v>71</v>
      </c>
      <c r="BV1" s="18">
        <v>72</v>
      </c>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c r="CW1" s="14"/>
      <c r="CX1" s="14"/>
      <c r="CY1" s="14"/>
      <c r="CZ1" s="14"/>
      <c r="DA1" s="14"/>
      <c r="DB1" s="14"/>
      <c r="DC1" s="14"/>
      <c r="DD1" s="14"/>
      <c r="DE1" s="14"/>
      <c r="DF1" s="14"/>
      <c r="DG1" s="14"/>
      <c r="DH1" s="14"/>
      <c r="DI1" s="14"/>
      <c r="DJ1" s="14"/>
      <c r="DK1" s="14"/>
      <c r="DL1" s="14"/>
      <c r="DM1" s="14"/>
      <c r="DN1" s="14"/>
      <c r="DO1" s="14"/>
      <c r="DP1" s="14"/>
      <c r="DQ1" s="14"/>
      <c r="DR1" s="14"/>
      <c r="DS1" s="14"/>
      <c r="DT1" s="14"/>
      <c r="DU1" s="14"/>
      <c r="DV1" s="14"/>
      <c r="DW1" s="14"/>
      <c r="DX1" s="14"/>
      <c r="DY1" s="14"/>
      <c r="DZ1" s="14"/>
      <c r="EA1" s="14"/>
      <c r="EB1" s="14"/>
      <c r="EC1" s="14"/>
      <c r="ED1" s="14"/>
      <c r="EE1" s="14"/>
      <c r="EF1" s="14"/>
      <c r="EG1" s="14"/>
      <c r="EH1" s="14"/>
      <c r="EI1" s="14"/>
      <c r="EJ1" s="14"/>
      <c r="EK1" s="14"/>
      <c r="EL1" s="14"/>
      <c r="EM1" s="14"/>
      <c r="EN1" s="14"/>
      <c r="EO1" s="14"/>
      <c r="EP1" s="14"/>
      <c r="EQ1" s="14"/>
      <c r="ER1" s="14"/>
      <c r="ES1" s="14"/>
      <c r="ET1" s="14"/>
      <c r="EU1" s="14"/>
      <c r="EV1" s="14"/>
      <c r="EW1" s="14"/>
      <c r="EX1" s="14"/>
      <c r="EY1" s="14"/>
      <c r="EZ1" s="14"/>
      <c r="FA1" s="14"/>
      <c r="FB1" s="14"/>
      <c r="FC1" s="14"/>
      <c r="FD1" s="14"/>
      <c r="FE1" s="14"/>
      <c r="FF1" s="14"/>
      <c r="FG1" s="14"/>
      <c r="FH1" s="14"/>
      <c r="FI1" s="14"/>
      <c r="FJ1" s="14"/>
      <c r="FK1" s="14"/>
      <c r="FL1" s="14"/>
      <c r="FM1" s="14"/>
      <c r="FN1" s="14"/>
      <c r="FO1" s="14"/>
      <c r="FP1" s="14"/>
      <c r="FQ1" s="14"/>
      <c r="FR1" s="14"/>
      <c r="FS1" s="14"/>
      <c r="FT1" s="14"/>
      <c r="FU1" s="14"/>
      <c r="FV1" s="14"/>
      <c r="FW1" s="14"/>
      <c r="FX1" s="14"/>
      <c r="FY1" s="14"/>
      <c r="FZ1" s="14"/>
      <c r="GA1" s="14"/>
      <c r="GB1" s="14"/>
      <c r="GC1" s="14"/>
      <c r="GD1" s="14"/>
      <c r="GE1" s="14"/>
      <c r="GF1" s="14"/>
      <c r="GG1" s="14"/>
      <c r="GH1" s="14"/>
      <c r="GI1" s="14"/>
      <c r="GJ1" s="14"/>
      <c r="GK1" s="14"/>
      <c r="GL1" s="14"/>
      <c r="GM1" s="14"/>
      <c r="GN1" s="14"/>
      <c r="GO1" s="14"/>
      <c r="GP1" s="14"/>
      <c r="GQ1" s="14"/>
      <c r="GR1" s="14"/>
      <c r="GS1" s="14"/>
      <c r="GT1" s="14"/>
      <c r="GU1" s="14"/>
      <c r="GV1" s="14"/>
      <c r="GW1" s="14"/>
      <c r="GX1" s="14"/>
      <c r="GY1" s="14"/>
      <c r="GZ1" s="14"/>
      <c r="HA1" s="14"/>
      <c r="HB1" s="14"/>
      <c r="HC1" s="14"/>
      <c r="HD1" s="14"/>
      <c r="HE1" s="14"/>
      <c r="HF1" s="14"/>
      <c r="HG1" s="14"/>
      <c r="HH1" s="14"/>
      <c r="HI1" s="14"/>
      <c r="HJ1" s="14"/>
      <c r="HK1" s="14"/>
      <c r="HL1" s="14"/>
      <c r="HM1" s="14"/>
      <c r="HN1" s="14"/>
      <c r="HO1" s="14"/>
      <c r="HP1" s="14"/>
    </row>
    <row r="2" spans="1:225" s="8" customFormat="1" ht="15" customHeight="1" x14ac:dyDescent="0.25">
      <c r="A2" s="9">
        <v>1</v>
      </c>
      <c r="B2" s="9" t="s">
        <v>0</v>
      </c>
      <c r="D2" s="19"/>
      <c r="E2" s="20"/>
      <c r="F2" s="20"/>
      <c r="G2" s="20"/>
      <c r="H2" s="20"/>
      <c r="I2" s="20"/>
      <c r="J2" s="20"/>
      <c r="K2" s="20"/>
      <c r="L2" s="20"/>
      <c r="N2" s="19"/>
      <c r="P2" s="19"/>
      <c r="Q2" s="20"/>
      <c r="R2" s="20"/>
      <c r="S2" s="20"/>
      <c r="T2" s="20"/>
      <c r="U2" s="20"/>
      <c r="V2" s="20"/>
      <c r="Y2" s="19"/>
      <c r="Z2" s="20"/>
      <c r="AA2" s="20"/>
      <c r="AB2" s="20"/>
      <c r="AC2" s="20"/>
      <c r="AD2" s="20"/>
      <c r="AE2" s="20"/>
      <c r="AG2" s="19"/>
      <c r="AH2" s="20"/>
      <c r="AP2" s="21"/>
      <c r="AR2" s="19"/>
      <c r="AT2" s="19"/>
      <c r="AU2" s="20"/>
      <c r="AV2" s="20"/>
      <c r="AW2" s="20"/>
      <c r="AX2" s="20"/>
      <c r="AY2" s="20"/>
      <c r="AZ2" s="20"/>
      <c r="BA2" s="20"/>
      <c r="BB2" s="20"/>
      <c r="BE2" s="19"/>
      <c r="BG2" s="19"/>
      <c r="BH2" s="20"/>
      <c r="BI2" s="20"/>
      <c r="BJ2" s="20"/>
      <c r="BK2" s="20"/>
      <c r="BL2" s="20"/>
      <c r="BM2" s="20"/>
      <c r="BN2" s="20"/>
      <c r="BP2" s="19"/>
      <c r="BU2" s="19"/>
      <c r="BV2" s="20"/>
      <c r="BW2" s="15"/>
      <c r="BX2" s="15"/>
      <c r="BY2" s="15"/>
      <c r="BZ2" s="15"/>
      <c r="CA2" s="15"/>
      <c r="CB2" s="15"/>
      <c r="CC2" s="15"/>
      <c r="CD2" s="15"/>
      <c r="CE2" s="15"/>
      <c r="CF2" s="15"/>
      <c r="CG2" s="15"/>
      <c r="CH2" s="15"/>
      <c r="CI2" s="15"/>
      <c r="CJ2" s="15"/>
      <c r="CK2" s="15"/>
      <c r="CL2" s="15"/>
      <c r="CM2" s="15"/>
      <c r="CN2" s="15"/>
      <c r="CO2" s="15"/>
      <c r="CP2" s="15"/>
      <c r="CQ2" s="15"/>
      <c r="CR2" s="15"/>
      <c r="CS2" s="15"/>
      <c r="CT2" s="15"/>
      <c r="CU2" s="15"/>
      <c r="CV2" s="15"/>
      <c r="CW2" s="15"/>
      <c r="CX2" s="15"/>
      <c r="CY2" s="15"/>
      <c r="CZ2" s="15"/>
      <c r="DA2" s="15"/>
      <c r="DB2" s="15"/>
      <c r="DC2" s="15"/>
      <c r="DD2" s="15"/>
      <c r="DE2" s="15"/>
      <c r="DF2" s="15"/>
      <c r="DG2" s="15"/>
      <c r="DH2" s="15"/>
      <c r="DI2" s="15"/>
      <c r="DJ2" s="15"/>
      <c r="DK2" s="15"/>
      <c r="DL2" s="15"/>
      <c r="DM2" s="15"/>
      <c r="DN2" s="15"/>
      <c r="DO2" s="15"/>
      <c r="DP2" s="15"/>
      <c r="DQ2" s="15"/>
      <c r="DR2" s="15"/>
      <c r="DS2" s="15"/>
      <c r="DT2" s="15"/>
      <c r="DU2" s="15"/>
      <c r="DV2" s="15"/>
      <c r="DW2" s="15"/>
      <c r="DX2" s="15"/>
      <c r="DY2" s="15"/>
      <c r="DZ2" s="15"/>
      <c r="EA2" s="15"/>
      <c r="EB2" s="15"/>
      <c r="EC2" s="15"/>
      <c r="ED2" s="15"/>
      <c r="EE2" s="15"/>
      <c r="EF2" s="15"/>
      <c r="EG2" s="15"/>
      <c r="EH2" s="15"/>
      <c r="EI2" s="15"/>
      <c r="EJ2" s="15"/>
      <c r="EK2" s="15"/>
      <c r="EL2" s="15"/>
      <c r="EM2" s="15"/>
      <c r="EN2" s="15"/>
      <c r="EO2" s="15"/>
      <c r="EP2" s="15"/>
      <c r="EQ2" s="15"/>
      <c r="ER2" s="15"/>
      <c r="ES2" s="15"/>
      <c r="ET2" s="15"/>
      <c r="EU2" s="15"/>
      <c r="EV2" s="15"/>
      <c r="EW2" s="15"/>
      <c r="EX2" s="15"/>
      <c r="EY2" s="15"/>
      <c r="EZ2" s="15"/>
      <c r="FA2" s="15"/>
      <c r="FB2" s="15"/>
      <c r="FC2" s="15"/>
      <c r="FD2" s="15"/>
      <c r="FE2" s="15"/>
      <c r="FF2" s="15"/>
      <c r="FG2" s="15"/>
      <c r="FH2" s="15"/>
      <c r="FI2" s="15"/>
      <c r="FJ2" s="15"/>
      <c r="FK2" s="15"/>
      <c r="FL2" s="15"/>
      <c r="FM2" s="15"/>
      <c r="FN2" s="15"/>
      <c r="FO2" s="15"/>
      <c r="FP2" s="15"/>
      <c r="FQ2" s="15"/>
      <c r="FR2" s="15"/>
      <c r="FS2" s="15"/>
      <c r="FT2" s="15"/>
      <c r="FU2" s="15"/>
      <c r="FV2" s="15"/>
      <c r="FW2" s="15"/>
      <c r="FX2" s="15"/>
      <c r="FY2" s="15"/>
      <c r="FZ2" s="15"/>
      <c r="GA2" s="15"/>
      <c r="GB2" s="15"/>
      <c r="GC2" s="15"/>
      <c r="GD2" s="15"/>
      <c r="GE2" s="15"/>
      <c r="GF2" s="15"/>
      <c r="GG2" s="15"/>
      <c r="GH2" s="15"/>
      <c r="GI2" s="15"/>
      <c r="GJ2" s="15"/>
      <c r="GK2" s="15"/>
      <c r="GL2" s="15"/>
      <c r="GM2" s="15"/>
      <c r="GN2" s="15"/>
      <c r="GO2" s="15"/>
      <c r="GP2" s="15"/>
      <c r="GQ2" s="15"/>
      <c r="GR2" s="15"/>
      <c r="GS2" s="15"/>
      <c r="GT2" s="15"/>
      <c r="GU2" s="15"/>
      <c r="GV2" s="15"/>
      <c r="GW2" s="15"/>
      <c r="GX2" s="15"/>
      <c r="GY2" s="15"/>
      <c r="GZ2" s="15"/>
      <c r="HA2" s="15"/>
      <c r="HB2" s="15"/>
      <c r="HC2" s="15"/>
      <c r="HD2" s="15"/>
      <c r="HE2" s="15"/>
      <c r="HF2" s="15"/>
      <c r="HG2" s="15"/>
      <c r="HH2" s="15"/>
      <c r="HI2" s="15"/>
      <c r="HJ2" s="15"/>
      <c r="HK2" s="15"/>
      <c r="HL2" s="15"/>
      <c r="HM2" s="15"/>
      <c r="HN2" s="15"/>
      <c r="HO2" s="15"/>
      <c r="HP2" s="15"/>
      <c r="HQ2" s="16"/>
    </row>
    <row r="3" spans="1:225" s="8" customFormat="1" ht="15" customHeight="1" x14ac:dyDescent="0.25">
      <c r="A3" s="9">
        <f>A2+1</f>
        <v>2</v>
      </c>
      <c r="B3" s="9" t="s">
        <v>1</v>
      </c>
      <c r="D3" s="19"/>
      <c r="E3" s="20"/>
      <c r="F3" s="20"/>
      <c r="G3" s="20"/>
      <c r="H3" s="20"/>
      <c r="I3" s="20"/>
      <c r="J3" s="20"/>
      <c r="K3" s="20"/>
      <c r="M3" s="20"/>
      <c r="N3" s="20"/>
      <c r="O3" s="20"/>
      <c r="Q3" s="19"/>
      <c r="R3" s="20"/>
      <c r="S3" s="20"/>
      <c r="T3" s="20"/>
      <c r="U3" s="20"/>
      <c r="W3" s="19"/>
      <c r="X3" s="20"/>
      <c r="AA3" s="19"/>
      <c r="AC3" s="19"/>
      <c r="AF3" s="19"/>
      <c r="AG3" s="20"/>
      <c r="AH3" s="20"/>
      <c r="AI3" s="20"/>
      <c r="AJ3" s="20"/>
      <c r="AK3" s="20"/>
      <c r="AL3" s="20"/>
      <c r="AP3" s="19"/>
      <c r="AQ3" s="20"/>
      <c r="AR3" s="20"/>
      <c r="AU3" s="19"/>
      <c r="AV3" s="20"/>
      <c r="AW3" s="20"/>
      <c r="AY3" s="19"/>
      <c r="BB3" s="19"/>
      <c r="BC3" s="20"/>
      <c r="BF3" s="19"/>
      <c r="BJ3" s="19"/>
      <c r="BO3" s="19"/>
      <c r="BP3" s="20"/>
      <c r="BR3" s="19"/>
      <c r="BS3" s="20"/>
      <c r="BT3" s="20"/>
      <c r="BU3" s="19"/>
      <c r="BV3" s="20"/>
      <c r="BW3" s="15"/>
      <c r="BX3" s="15"/>
      <c r="BY3" s="15"/>
      <c r="BZ3" s="15"/>
      <c r="CA3" s="15"/>
      <c r="CB3" s="15"/>
      <c r="CC3" s="15"/>
      <c r="CD3" s="15"/>
      <c r="CE3" s="15"/>
      <c r="CF3" s="15"/>
      <c r="CG3" s="15"/>
      <c r="CH3" s="15"/>
      <c r="CI3" s="15"/>
      <c r="CJ3" s="15"/>
      <c r="CK3" s="15"/>
      <c r="CL3" s="15"/>
      <c r="CM3" s="15"/>
      <c r="CN3" s="15"/>
      <c r="CO3" s="15"/>
      <c r="CP3" s="15"/>
      <c r="CQ3" s="15"/>
      <c r="CR3" s="15"/>
      <c r="CS3" s="15"/>
      <c r="CT3" s="15"/>
      <c r="CU3" s="15"/>
      <c r="CV3" s="15"/>
      <c r="CW3" s="15"/>
      <c r="CX3" s="15"/>
      <c r="CY3" s="15"/>
      <c r="CZ3" s="15"/>
      <c r="DA3" s="15"/>
      <c r="DB3" s="15"/>
      <c r="DC3" s="15"/>
      <c r="DD3" s="15"/>
      <c r="DE3" s="15"/>
      <c r="DF3" s="15"/>
      <c r="DG3" s="15"/>
      <c r="DH3" s="15"/>
      <c r="DI3" s="15"/>
      <c r="DJ3" s="15"/>
      <c r="DK3" s="15"/>
      <c r="DL3" s="15"/>
      <c r="DM3" s="15"/>
      <c r="DN3" s="15"/>
      <c r="DO3" s="15"/>
      <c r="DP3" s="15"/>
      <c r="DQ3" s="15"/>
      <c r="DR3" s="15"/>
      <c r="DS3" s="15"/>
      <c r="DT3" s="15"/>
      <c r="DU3" s="15"/>
      <c r="DV3" s="15"/>
      <c r="DW3" s="15"/>
      <c r="DX3" s="15"/>
      <c r="DY3" s="15"/>
      <c r="DZ3" s="15"/>
      <c r="EA3" s="15"/>
      <c r="EB3" s="15"/>
      <c r="EC3" s="15"/>
      <c r="ED3" s="15"/>
      <c r="EE3" s="15"/>
      <c r="EF3" s="15"/>
      <c r="EG3" s="15"/>
      <c r="EH3" s="15"/>
      <c r="EI3" s="15"/>
      <c r="EJ3" s="15"/>
      <c r="EK3" s="15"/>
      <c r="EL3" s="15"/>
      <c r="EM3" s="15"/>
      <c r="EN3" s="15"/>
      <c r="EO3" s="15"/>
      <c r="EP3" s="15"/>
      <c r="EQ3" s="15"/>
      <c r="ER3" s="15"/>
      <c r="ES3" s="15"/>
      <c r="ET3" s="15"/>
      <c r="EU3" s="15"/>
      <c r="EV3" s="15"/>
      <c r="EW3" s="15"/>
      <c r="EX3" s="15"/>
      <c r="EY3" s="15"/>
      <c r="EZ3" s="15"/>
      <c r="FA3" s="15"/>
      <c r="FB3" s="15"/>
      <c r="FC3" s="15"/>
      <c r="FD3" s="15"/>
      <c r="FE3" s="15"/>
      <c r="FF3" s="15"/>
      <c r="FG3" s="15"/>
      <c r="FH3" s="15"/>
      <c r="FI3" s="15"/>
      <c r="FJ3" s="15"/>
      <c r="FK3" s="15"/>
      <c r="FL3" s="15"/>
      <c r="FM3" s="15"/>
      <c r="FN3" s="15"/>
      <c r="FO3" s="15"/>
      <c r="FP3" s="15"/>
      <c r="FQ3" s="15"/>
      <c r="FR3" s="15"/>
      <c r="FS3" s="15"/>
      <c r="FT3" s="15"/>
      <c r="FU3" s="15"/>
      <c r="FV3" s="15"/>
      <c r="FW3" s="15"/>
      <c r="FX3" s="15"/>
      <c r="FY3" s="15"/>
      <c r="FZ3" s="15"/>
      <c r="GA3" s="15"/>
      <c r="GB3" s="15"/>
      <c r="GC3" s="15"/>
      <c r="GD3" s="15"/>
      <c r="GE3" s="15"/>
      <c r="GF3" s="15"/>
      <c r="GG3" s="15"/>
      <c r="GH3" s="15"/>
      <c r="GI3" s="15"/>
      <c r="GJ3" s="15"/>
      <c r="GK3" s="15"/>
      <c r="GL3" s="15"/>
      <c r="GM3" s="15"/>
      <c r="GN3" s="15"/>
      <c r="GO3" s="15"/>
      <c r="GP3" s="15"/>
      <c r="GQ3" s="15"/>
      <c r="GR3" s="15"/>
      <c r="GS3" s="15"/>
      <c r="GT3" s="15"/>
      <c r="GU3" s="15"/>
      <c r="GV3" s="15"/>
      <c r="GW3" s="15"/>
      <c r="GX3" s="15"/>
      <c r="GY3" s="15"/>
      <c r="GZ3" s="15"/>
      <c r="HA3" s="15"/>
      <c r="HB3" s="15"/>
      <c r="HC3" s="15"/>
      <c r="HD3" s="15"/>
      <c r="HE3" s="15"/>
      <c r="HF3" s="15"/>
      <c r="HG3" s="15"/>
      <c r="HH3" s="15"/>
      <c r="HI3" s="15"/>
      <c r="HJ3" s="15"/>
      <c r="HK3" s="15"/>
      <c r="HL3" s="15"/>
      <c r="HM3" s="15"/>
      <c r="HN3" s="15"/>
      <c r="HO3" s="15"/>
      <c r="HP3" s="15"/>
      <c r="HQ3" s="16"/>
    </row>
    <row r="4" spans="1:225" s="8" customFormat="1" ht="15" customHeight="1" x14ac:dyDescent="0.25">
      <c r="A4" s="9">
        <f t="shared" ref="A4:A33" si="1">A3+1</f>
        <v>3</v>
      </c>
      <c r="B4" s="9" t="s">
        <v>2</v>
      </c>
      <c r="F4" s="19"/>
      <c r="I4" s="19"/>
      <c r="K4" s="19"/>
      <c r="M4" s="19"/>
      <c r="N4" s="20"/>
      <c r="Q4" s="19"/>
      <c r="R4" s="20"/>
      <c r="U4" s="19"/>
      <c r="X4" s="19"/>
      <c r="AF4" s="20"/>
      <c r="AG4" s="20"/>
      <c r="AH4" s="20"/>
      <c r="AK4" s="19"/>
      <c r="AM4" s="19"/>
      <c r="AP4" s="19"/>
      <c r="BE4" s="19"/>
      <c r="BI4" s="19"/>
      <c r="BL4" s="19"/>
      <c r="BR4" s="19"/>
      <c r="BW4" s="15"/>
      <c r="BX4" s="15"/>
      <c r="BY4" s="15"/>
      <c r="BZ4" s="15"/>
      <c r="CA4" s="15"/>
      <c r="CB4" s="15"/>
      <c r="CC4" s="15"/>
      <c r="CD4" s="15"/>
      <c r="CE4" s="15"/>
      <c r="CF4" s="15"/>
      <c r="CG4" s="15"/>
      <c r="CH4" s="15"/>
      <c r="CI4" s="15"/>
      <c r="CJ4" s="15"/>
      <c r="CK4" s="15"/>
      <c r="CL4" s="15"/>
      <c r="CM4" s="15"/>
      <c r="CN4" s="15"/>
      <c r="CO4" s="15"/>
      <c r="CP4" s="15"/>
      <c r="CQ4" s="15"/>
      <c r="CR4" s="15"/>
      <c r="CS4" s="15"/>
      <c r="CT4" s="15"/>
      <c r="CU4" s="15"/>
      <c r="CV4" s="15"/>
      <c r="CW4" s="15"/>
      <c r="CX4" s="15"/>
      <c r="CY4" s="15"/>
      <c r="CZ4" s="15"/>
      <c r="DA4" s="15"/>
      <c r="DB4" s="15"/>
      <c r="DC4" s="15"/>
      <c r="DD4" s="15"/>
      <c r="DE4" s="15"/>
      <c r="DF4" s="15"/>
      <c r="DG4" s="15"/>
      <c r="DH4" s="15"/>
      <c r="DI4" s="15"/>
      <c r="DJ4" s="15"/>
      <c r="DK4" s="15"/>
      <c r="DL4" s="15"/>
      <c r="DM4" s="15"/>
      <c r="DN4" s="15"/>
      <c r="DO4" s="15"/>
      <c r="DP4" s="15"/>
      <c r="DQ4" s="15"/>
      <c r="DR4" s="15"/>
      <c r="DS4" s="15"/>
      <c r="DT4" s="15"/>
      <c r="DU4" s="15"/>
      <c r="DV4" s="15"/>
      <c r="DW4" s="15"/>
      <c r="DX4" s="15"/>
      <c r="DY4" s="15"/>
      <c r="DZ4" s="15"/>
      <c r="EA4" s="15"/>
      <c r="EB4" s="15"/>
      <c r="EC4" s="15"/>
      <c r="ED4" s="15"/>
      <c r="EE4" s="15"/>
      <c r="EF4" s="15"/>
      <c r="EG4" s="15"/>
      <c r="EH4" s="15"/>
      <c r="EI4" s="15"/>
      <c r="EJ4" s="15"/>
      <c r="EK4" s="15"/>
      <c r="EL4" s="15"/>
      <c r="EM4" s="15"/>
      <c r="EN4" s="15"/>
      <c r="EO4" s="15"/>
      <c r="EP4" s="15"/>
      <c r="EQ4" s="15"/>
      <c r="ER4" s="15"/>
      <c r="ES4" s="15"/>
      <c r="ET4" s="15"/>
      <c r="EU4" s="15"/>
      <c r="EV4" s="15"/>
      <c r="EW4" s="15"/>
      <c r="EX4" s="15"/>
      <c r="EY4" s="15"/>
      <c r="EZ4" s="15"/>
      <c r="FA4" s="15"/>
      <c r="FB4" s="15"/>
      <c r="FC4" s="15"/>
      <c r="FD4" s="15"/>
      <c r="FE4" s="15"/>
      <c r="FF4" s="15"/>
      <c r="FG4" s="15"/>
      <c r="FH4" s="15"/>
      <c r="FI4" s="15"/>
      <c r="FJ4" s="15"/>
      <c r="FK4" s="15"/>
      <c r="FL4" s="15"/>
      <c r="FM4" s="15"/>
      <c r="FN4" s="15"/>
      <c r="FO4" s="15"/>
      <c r="FP4" s="15"/>
      <c r="FQ4" s="15"/>
      <c r="FR4" s="15"/>
      <c r="FS4" s="15"/>
      <c r="FT4" s="15"/>
      <c r="FU4" s="15"/>
      <c r="FV4" s="15"/>
      <c r="FW4" s="15"/>
      <c r="FX4" s="15"/>
      <c r="FY4" s="15"/>
      <c r="FZ4" s="15"/>
      <c r="GA4" s="15"/>
      <c r="GB4" s="15"/>
      <c r="GC4" s="15"/>
      <c r="GD4" s="15"/>
      <c r="GE4" s="15"/>
      <c r="GF4" s="15"/>
      <c r="GG4" s="15"/>
      <c r="GH4" s="15"/>
      <c r="GI4" s="15"/>
      <c r="GJ4" s="15"/>
      <c r="GK4" s="15"/>
      <c r="GL4" s="15"/>
      <c r="GM4" s="15"/>
      <c r="GN4" s="15"/>
      <c r="GO4" s="15"/>
      <c r="GP4" s="15"/>
      <c r="GQ4" s="15"/>
      <c r="GR4" s="15"/>
      <c r="GS4" s="15"/>
      <c r="GT4" s="15"/>
      <c r="GU4" s="15"/>
      <c r="GV4" s="15"/>
      <c r="GW4" s="15"/>
      <c r="GX4" s="15"/>
      <c r="GY4" s="15"/>
      <c r="GZ4" s="15"/>
      <c r="HA4" s="15"/>
      <c r="HB4" s="15"/>
      <c r="HC4" s="15"/>
      <c r="HD4" s="15"/>
      <c r="HE4" s="15"/>
      <c r="HF4" s="15"/>
      <c r="HG4" s="15"/>
      <c r="HH4" s="15"/>
      <c r="HI4" s="15"/>
      <c r="HJ4" s="15"/>
      <c r="HK4" s="15"/>
      <c r="HL4" s="15"/>
      <c r="HM4" s="15"/>
      <c r="HN4" s="15"/>
      <c r="HO4" s="15"/>
      <c r="HP4" s="15"/>
      <c r="HQ4" s="16"/>
    </row>
    <row r="5" spans="1:225" s="11" customFormat="1" ht="15" customHeight="1" x14ac:dyDescent="0.25">
      <c r="A5" s="9">
        <f t="shared" si="1"/>
        <v>4</v>
      </c>
      <c r="B5" s="10" t="s">
        <v>91</v>
      </c>
      <c r="AG5" s="22"/>
      <c r="AH5" s="19"/>
      <c r="AP5" s="19"/>
      <c r="BS5" s="19"/>
      <c r="BT5" s="20"/>
      <c r="BW5" s="15"/>
      <c r="BX5" s="15"/>
      <c r="BY5" s="15"/>
      <c r="BZ5" s="15"/>
      <c r="CA5" s="15"/>
      <c r="CB5" s="15"/>
      <c r="CC5" s="15"/>
      <c r="CD5" s="15"/>
      <c r="CE5" s="15"/>
      <c r="CF5" s="15"/>
      <c r="CG5" s="15"/>
      <c r="CH5" s="15"/>
      <c r="CI5" s="15"/>
      <c r="CJ5" s="15"/>
      <c r="CK5" s="15"/>
      <c r="CL5" s="15"/>
      <c r="CM5" s="15"/>
      <c r="CN5" s="15"/>
      <c r="CO5" s="15"/>
      <c r="CP5" s="15"/>
      <c r="CQ5" s="15"/>
      <c r="CR5" s="15"/>
      <c r="CS5" s="15"/>
      <c r="CT5" s="15"/>
      <c r="CU5" s="15"/>
      <c r="CV5" s="15"/>
      <c r="CW5" s="15"/>
      <c r="CX5" s="15"/>
      <c r="CY5" s="15"/>
      <c r="CZ5" s="15"/>
      <c r="DA5" s="15"/>
      <c r="DB5" s="15"/>
      <c r="DC5" s="15"/>
      <c r="DD5" s="15"/>
      <c r="DE5" s="15"/>
      <c r="DF5" s="15"/>
      <c r="DG5" s="15"/>
      <c r="DH5" s="15"/>
      <c r="DI5" s="15"/>
      <c r="DJ5" s="15"/>
      <c r="DK5" s="15"/>
      <c r="DL5" s="15"/>
      <c r="DM5" s="15"/>
      <c r="DN5" s="15"/>
      <c r="DO5" s="15"/>
      <c r="DP5" s="15"/>
      <c r="DQ5" s="15"/>
      <c r="DR5" s="15"/>
      <c r="DS5" s="15"/>
      <c r="DT5" s="15"/>
      <c r="DU5" s="15"/>
      <c r="DV5" s="15"/>
      <c r="DW5" s="15"/>
      <c r="DX5" s="15"/>
      <c r="DY5" s="15"/>
      <c r="DZ5" s="15"/>
      <c r="EA5" s="15"/>
      <c r="EB5" s="15"/>
      <c r="EC5" s="15"/>
      <c r="ED5" s="15"/>
      <c r="EE5" s="15"/>
      <c r="EF5" s="15"/>
      <c r="EG5" s="15"/>
      <c r="EH5" s="15"/>
      <c r="EI5" s="15"/>
      <c r="EJ5" s="15"/>
      <c r="EK5" s="15"/>
      <c r="EL5" s="15"/>
      <c r="EM5" s="15"/>
      <c r="EN5" s="15"/>
      <c r="EO5" s="15"/>
      <c r="EP5" s="15"/>
      <c r="EQ5" s="15"/>
      <c r="ER5" s="15"/>
      <c r="ES5" s="15"/>
      <c r="ET5" s="15"/>
      <c r="EU5" s="15"/>
      <c r="EV5" s="15"/>
      <c r="EW5" s="15"/>
      <c r="EX5" s="15"/>
      <c r="EY5" s="15"/>
      <c r="EZ5" s="15"/>
      <c r="FA5" s="15"/>
      <c r="FB5" s="15"/>
      <c r="FC5" s="15"/>
      <c r="FD5" s="15"/>
      <c r="FE5" s="15"/>
      <c r="FF5" s="15"/>
      <c r="FG5" s="15"/>
      <c r="FH5" s="15"/>
      <c r="FI5" s="15"/>
      <c r="FJ5" s="15"/>
      <c r="FK5" s="15"/>
      <c r="FL5" s="15"/>
      <c r="FM5" s="15"/>
      <c r="FN5" s="15"/>
      <c r="FO5" s="15"/>
      <c r="FP5" s="15"/>
      <c r="FQ5" s="15"/>
      <c r="FR5" s="15"/>
      <c r="FS5" s="15"/>
      <c r="FT5" s="15"/>
      <c r="FU5" s="15"/>
      <c r="FV5" s="15"/>
      <c r="FW5" s="15"/>
      <c r="FX5" s="15"/>
      <c r="FY5" s="15"/>
      <c r="FZ5" s="15"/>
      <c r="GA5" s="15"/>
      <c r="GB5" s="15"/>
      <c r="GC5" s="15"/>
      <c r="GD5" s="15"/>
      <c r="GE5" s="15"/>
      <c r="GF5" s="15"/>
      <c r="GG5" s="15"/>
      <c r="GH5" s="15"/>
      <c r="GI5" s="15"/>
      <c r="GJ5" s="15"/>
      <c r="GK5" s="15"/>
      <c r="GL5" s="15"/>
      <c r="GM5" s="15"/>
      <c r="GN5" s="15"/>
      <c r="GO5" s="15"/>
      <c r="GP5" s="15"/>
      <c r="GQ5" s="15"/>
      <c r="GR5" s="15"/>
      <c r="GS5" s="15"/>
      <c r="GT5" s="15"/>
      <c r="GU5" s="15"/>
      <c r="GV5" s="15"/>
      <c r="GW5" s="15"/>
      <c r="GX5" s="15"/>
      <c r="GY5" s="15"/>
      <c r="GZ5" s="15"/>
      <c r="HA5" s="15"/>
      <c r="HB5" s="15"/>
      <c r="HC5" s="15"/>
      <c r="HD5" s="15"/>
      <c r="HE5" s="15"/>
      <c r="HF5" s="15"/>
      <c r="HG5" s="15"/>
      <c r="HH5" s="15"/>
      <c r="HI5" s="15"/>
      <c r="HJ5" s="15"/>
      <c r="HK5" s="15"/>
      <c r="HL5" s="15"/>
      <c r="HM5" s="15"/>
      <c r="HN5" s="15"/>
      <c r="HO5" s="15"/>
      <c r="HP5" s="15"/>
      <c r="HQ5" s="17"/>
    </row>
    <row r="6" spans="1:225" s="11" customFormat="1" ht="15" customHeight="1" x14ac:dyDescent="0.25">
      <c r="A6" s="9">
        <f t="shared" si="1"/>
        <v>5</v>
      </c>
      <c r="B6" s="10" t="s">
        <v>4</v>
      </c>
      <c r="G6" s="19"/>
      <c r="H6" s="20"/>
      <c r="I6" s="20"/>
      <c r="J6" s="20"/>
      <c r="L6" s="19"/>
      <c r="M6" s="20"/>
      <c r="N6" s="20"/>
      <c r="O6" s="20"/>
      <c r="R6" s="19"/>
      <c r="S6" s="19"/>
      <c r="U6" s="19"/>
      <c r="W6" s="19"/>
      <c r="Z6" s="19"/>
      <c r="AC6" s="19"/>
      <c r="AG6" s="19"/>
      <c r="AJ6" s="19"/>
      <c r="AL6" s="19"/>
      <c r="AM6" s="19"/>
      <c r="AN6" s="19"/>
      <c r="AO6" s="19"/>
      <c r="AP6" s="19"/>
      <c r="AQ6" s="19"/>
      <c r="AR6" s="19"/>
      <c r="AS6" s="19"/>
      <c r="AT6" s="19"/>
      <c r="AU6" s="19"/>
      <c r="AV6" s="19"/>
      <c r="AW6" s="19"/>
      <c r="AX6" s="20"/>
      <c r="AY6" s="20"/>
      <c r="AZ6" s="20"/>
      <c r="BB6" s="19"/>
      <c r="BC6" s="19"/>
      <c r="BD6" s="19"/>
      <c r="BE6" s="19"/>
      <c r="BF6" s="19"/>
      <c r="BG6" s="19"/>
      <c r="BH6" s="19"/>
      <c r="BI6" s="20"/>
      <c r="BJ6" s="20"/>
      <c r="BL6" s="20"/>
      <c r="BM6" s="20"/>
      <c r="BO6" s="19"/>
      <c r="BP6" s="19"/>
      <c r="BQ6" s="19"/>
      <c r="BR6" s="19"/>
      <c r="BS6" s="19"/>
      <c r="BT6" s="19"/>
      <c r="BU6" s="19"/>
      <c r="BV6" s="19"/>
      <c r="BW6" s="15"/>
      <c r="BX6" s="15"/>
      <c r="BY6" s="15"/>
      <c r="BZ6" s="15"/>
      <c r="CA6" s="15"/>
      <c r="CB6" s="15"/>
      <c r="CC6" s="15"/>
      <c r="CD6" s="15"/>
      <c r="CE6" s="15"/>
      <c r="CF6" s="15"/>
      <c r="CG6" s="15"/>
      <c r="CH6" s="15"/>
      <c r="CI6" s="15"/>
      <c r="CJ6" s="15"/>
      <c r="CK6" s="15"/>
      <c r="CL6" s="15"/>
      <c r="CM6" s="15"/>
      <c r="CN6" s="15"/>
      <c r="CO6" s="15"/>
      <c r="CP6" s="15"/>
      <c r="CQ6" s="15"/>
      <c r="CR6" s="15"/>
      <c r="CS6" s="15"/>
      <c r="CT6" s="15"/>
      <c r="CU6" s="15"/>
      <c r="CV6" s="15"/>
      <c r="CW6" s="15"/>
      <c r="CX6" s="15"/>
      <c r="CY6" s="15"/>
      <c r="CZ6" s="15"/>
      <c r="DA6" s="15"/>
      <c r="DB6" s="15"/>
      <c r="DC6" s="15"/>
      <c r="DD6" s="15"/>
      <c r="DE6" s="15"/>
      <c r="DF6" s="15"/>
      <c r="DG6" s="15"/>
      <c r="DH6" s="15"/>
      <c r="DI6" s="15"/>
      <c r="DJ6" s="15"/>
      <c r="DK6" s="15"/>
      <c r="DL6" s="15"/>
      <c r="DM6" s="15"/>
      <c r="DN6" s="15"/>
      <c r="DO6" s="15"/>
      <c r="DP6" s="15"/>
      <c r="DQ6" s="15"/>
      <c r="DR6" s="15"/>
      <c r="DS6" s="15"/>
      <c r="DT6" s="15"/>
      <c r="DU6" s="15"/>
      <c r="DV6" s="15"/>
      <c r="DW6" s="15"/>
      <c r="DX6" s="15"/>
      <c r="DY6" s="15"/>
      <c r="DZ6" s="15"/>
      <c r="EA6" s="15"/>
      <c r="EB6" s="15"/>
      <c r="EC6" s="15"/>
      <c r="ED6" s="15"/>
      <c r="EE6" s="15"/>
      <c r="EF6" s="15"/>
      <c r="EG6" s="15"/>
      <c r="EH6" s="15"/>
      <c r="EI6" s="15"/>
      <c r="EJ6" s="15"/>
      <c r="EK6" s="15"/>
      <c r="EL6" s="15"/>
      <c r="EM6" s="15"/>
      <c r="EN6" s="15"/>
      <c r="EO6" s="15"/>
      <c r="EP6" s="15"/>
      <c r="EQ6" s="15"/>
      <c r="ER6" s="15"/>
      <c r="ES6" s="15"/>
      <c r="ET6" s="15"/>
      <c r="EU6" s="15"/>
      <c r="EV6" s="15"/>
      <c r="EW6" s="15"/>
      <c r="EX6" s="15"/>
      <c r="EY6" s="15"/>
      <c r="EZ6" s="15"/>
      <c r="FA6" s="15"/>
      <c r="FB6" s="15"/>
      <c r="FC6" s="15"/>
      <c r="FD6" s="15"/>
      <c r="FE6" s="15"/>
      <c r="FF6" s="15"/>
      <c r="FG6" s="15"/>
      <c r="FH6" s="15"/>
      <c r="FI6" s="15"/>
      <c r="FJ6" s="15"/>
      <c r="FK6" s="15"/>
      <c r="FL6" s="15"/>
      <c r="FM6" s="15"/>
      <c r="FN6" s="15"/>
      <c r="FO6" s="15"/>
      <c r="FP6" s="15"/>
      <c r="FQ6" s="15"/>
      <c r="FR6" s="15"/>
      <c r="FS6" s="15"/>
      <c r="FT6" s="15"/>
      <c r="FU6" s="15"/>
      <c r="FV6" s="15"/>
      <c r="FW6" s="15"/>
      <c r="FX6" s="15"/>
      <c r="FY6" s="15"/>
      <c r="FZ6" s="15"/>
      <c r="GA6" s="15"/>
      <c r="GB6" s="15"/>
      <c r="GC6" s="15"/>
      <c r="GD6" s="15"/>
      <c r="GE6" s="15"/>
      <c r="GF6" s="15"/>
      <c r="GG6" s="15"/>
      <c r="GH6" s="15"/>
      <c r="GI6" s="15"/>
      <c r="GJ6" s="15"/>
      <c r="GK6" s="15"/>
      <c r="GL6" s="15"/>
      <c r="GM6" s="15"/>
      <c r="GN6" s="15"/>
      <c r="GO6" s="15"/>
      <c r="GP6" s="15"/>
      <c r="GQ6" s="15"/>
      <c r="GR6" s="15"/>
      <c r="GS6" s="15"/>
      <c r="GT6" s="15"/>
      <c r="GU6" s="15"/>
      <c r="GV6" s="15"/>
      <c r="GW6" s="15"/>
      <c r="GX6" s="15"/>
      <c r="GY6" s="15"/>
      <c r="GZ6" s="15"/>
      <c r="HA6" s="15"/>
      <c r="HB6" s="15"/>
      <c r="HC6" s="15"/>
      <c r="HD6" s="15"/>
      <c r="HE6" s="15"/>
      <c r="HF6" s="15"/>
      <c r="HG6" s="15"/>
      <c r="HH6" s="15"/>
      <c r="HI6" s="15"/>
      <c r="HJ6" s="15"/>
      <c r="HK6" s="15"/>
      <c r="HL6" s="15"/>
      <c r="HM6" s="15"/>
      <c r="HN6" s="15"/>
      <c r="HO6" s="15"/>
      <c r="HP6" s="15"/>
      <c r="HQ6" s="17"/>
    </row>
    <row r="7" spans="1:225" s="8" customFormat="1" ht="15" customHeight="1" x14ac:dyDescent="0.25">
      <c r="A7" s="9">
        <f t="shared" si="1"/>
        <v>6</v>
      </c>
      <c r="B7" s="9" t="s">
        <v>5</v>
      </c>
      <c r="C7" s="19"/>
      <c r="F7" s="19"/>
      <c r="H7" s="19"/>
      <c r="I7" s="20"/>
      <c r="J7" s="20"/>
      <c r="K7" s="20"/>
      <c r="L7" s="20"/>
      <c r="M7" s="20"/>
      <c r="N7" s="20"/>
      <c r="O7" s="20"/>
      <c r="Q7" s="19"/>
      <c r="R7" s="19"/>
      <c r="S7" s="19"/>
      <c r="U7" s="19"/>
      <c r="V7" s="20"/>
      <c r="W7" s="20"/>
      <c r="X7" s="20"/>
      <c r="Z7" s="21"/>
      <c r="AB7" s="19"/>
      <c r="AC7" s="20"/>
      <c r="AD7" s="20"/>
      <c r="AE7" s="20"/>
      <c r="AF7" s="20"/>
      <c r="AG7" s="20"/>
      <c r="AH7" s="20"/>
      <c r="AJ7" s="21"/>
      <c r="AK7" s="19"/>
      <c r="AL7" s="19"/>
      <c r="AM7" s="21"/>
      <c r="AP7" s="19"/>
      <c r="AQ7" s="20"/>
      <c r="AS7" s="19"/>
      <c r="AT7" s="20"/>
      <c r="AU7" s="20"/>
      <c r="AV7" s="20"/>
      <c r="AW7" s="20"/>
      <c r="AX7" s="20"/>
      <c r="AY7" s="20"/>
      <c r="AZ7" s="20"/>
      <c r="BB7" s="19"/>
      <c r="BC7" s="20"/>
      <c r="BD7" s="20"/>
      <c r="BE7" s="20"/>
      <c r="BF7" s="20"/>
      <c r="BG7" s="20"/>
      <c r="BH7" s="20"/>
      <c r="BI7" s="20"/>
      <c r="BJ7" s="20"/>
      <c r="BL7" s="19"/>
      <c r="BM7" s="19"/>
      <c r="BP7" s="19"/>
      <c r="BQ7" s="20"/>
      <c r="BR7" s="20"/>
      <c r="BS7" s="20"/>
      <c r="BT7" s="20"/>
      <c r="BU7" s="20"/>
      <c r="BV7" s="20"/>
      <c r="BW7" s="15"/>
      <c r="BX7" s="15"/>
      <c r="BY7" s="15"/>
      <c r="BZ7" s="15"/>
      <c r="CA7" s="15"/>
      <c r="CB7" s="15"/>
      <c r="CC7" s="15"/>
      <c r="CD7" s="15"/>
      <c r="CE7" s="15"/>
      <c r="CF7" s="15"/>
      <c r="CG7" s="15"/>
      <c r="CH7" s="15"/>
      <c r="CI7" s="15"/>
      <c r="CJ7" s="15"/>
      <c r="CK7" s="15"/>
      <c r="CL7" s="15"/>
      <c r="CM7" s="15"/>
      <c r="CN7" s="15"/>
      <c r="CO7" s="15"/>
      <c r="CP7" s="15"/>
      <c r="CQ7" s="15"/>
      <c r="CR7" s="15"/>
      <c r="CS7" s="15"/>
      <c r="CT7" s="15"/>
      <c r="CU7" s="15"/>
      <c r="CV7" s="15"/>
      <c r="CW7" s="15"/>
      <c r="CX7" s="15"/>
      <c r="CY7" s="15"/>
      <c r="CZ7" s="15"/>
      <c r="DA7" s="15"/>
      <c r="DB7" s="15"/>
      <c r="DC7" s="15"/>
      <c r="DD7" s="15"/>
      <c r="DE7" s="15"/>
      <c r="DF7" s="15"/>
      <c r="DG7" s="15"/>
      <c r="DH7" s="15"/>
      <c r="DI7" s="15"/>
      <c r="DJ7" s="15"/>
      <c r="DK7" s="15"/>
      <c r="DL7" s="15"/>
      <c r="DM7" s="15"/>
      <c r="DN7" s="15"/>
      <c r="DO7" s="15"/>
      <c r="DP7" s="15"/>
      <c r="DQ7" s="15"/>
      <c r="DR7" s="15"/>
      <c r="DS7" s="15"/>
      <c r="DT7" s="15"/>
      <c r="DU7" s="15"/>
      <c r="DV7" s="15"/>
      <c r="DW7" s="15"/>
      <c r="DX7" s="15"/>
      <c r="DY7" s="15"/>
      <c r="DZ7" s="15"/>
      <c r="EA7" s="15"/>
      <c r="EB7" s="15"/>
      <c r="EC7" s="15"/>
      <c r="ED7" s="15"/>
      <c r="EE7" s="15"/>
      <c r="EF7" s="15"/>
      <c r="EG7" s="15"/>
      <c r="EH7" s="15"/>
      <c r="EI7" s="15"/>
      <c r="EJ7" s="15"/>
      <c r="EK7" s="15"/>
      <c r="EL7" s="15"/>
      <c r="EM7" s="15"/>
      <c r="EN7" s="15"/>
      <c r="EO7" s="15"/>
      <c r="EP7" s="15"/>
      <c r="EQ7" s="15"/>
      <c r="ER7" s="15"/>
      <c r="ES7" s="15"/>
      <c r="ET7" s="15"/>
      <c r="EU7" s="15"/>
      <c r="EV7" s="15"/>
      <c r="EW7" s="15"/>
      <c r="EX7" s="15"/>
      <c r="EY7" s="15"/>
      <c r="EZ7" s="15"/>
      <c r="FA7" s="15"/>
      <c r="FB7" s="15"/>
      <c r="FC7" s="15"/>
      <c r="FD7" s="15"/>
      <c r="FE7" s="15"/>
      <c r="FF7" s="15"/>
      <c r="FG7" s="15"/>
      <c r="FH7" s="15"/>
      <c r="FI7" s="15"/>
      <c r="FJ7" s="15"/>
      <c r="FK7" s="15"/>
      <c r="FL7" s="15"/>
      <c r="FM7" s="15"/>
      <c r="FN7" s="15"/>
      <c r="FO7" s="15"/>
      <c r="FP7" s="15"/>
      <c r="FQ7" s="15"/>
      <c r="FR7" s="15"/>
      <c r="FS7" s="15"/>
      <c r="FT7" s="15"/>
      <c r="FU7" s="15"/>
      <c r="FV7" s="15"/>
      <c r="FW7" s="15"/>
      <c r="FX7" s="15"/>
      <c r="FY7" s="15"/>
      <c r="FZ7" s="15"/>
      <c r="GA7" s="15"/>
      <c r="GB7" s="15"/>
      <c r="GC7" s="15"/>
      <c r="GD7" s="15"/>
      <c r="GE7" s="15"/>
      <c r="GF7" s="15"/>
      <c r="GG7" s="15"/>
      <c r="GH7" s="15"/>
      <c r="GI7" s="15"/>
      <c r="GJ7" s="15"/>
      <c r="GK7" s="15"/>
      <c r="GL7" s="15"/>
      <c r="GM7" s="15"/>
      <c r="GN7" s="15"/>
      <c r="GO7" s="15"/>
      <c r="GP7" s="15"/>
      <c r="GQ7" s="15"/>
      <c r="GR7" s="15"/>
      <c r="GS7" s="15"/>
      <c r="GT7" s="15"/>
      <c r="GU7" s="15"/>
      <c r="GV7" s="15"/>
      <c r="GW7" s="15"/>
      <c r="GX7" s="15"/>
      <c r="GY7" s="15"/>
      <c r="GZ7" s="15"/>
      <c r="HA7" s="15"/>
      <c r="HB7" s="15"/>
      <c r="HC7" s="15"/>
      <c r="HD7" s="15"/>
      <c r="HE7" s="15"/>
      <c r="HF7" s="15"/>
      <c r="HG7" s="15"/>
      <c r="HH7" s="15"/>
      <c r="HI7" s="15"/>
      <c r="HJ7" s="15"/>
      <c r="HK7" s="15"/>
      <c r="HL7" s="15"/>
      <c r="HM7" s="15"/>
      <c r="HN7" s="15"/>
      <c r="HO7" s="15"/>
      <c r="HP7" s="15"/>
      <c r="HQ7" s="16"/>
    </row>
    <row r="8" spans="1:225" s="8" customFormat="1" ht="15" customHeight="1" x14ac:dyDescent="0.25">
      <c r="A8" s="9">
        <f t="shared" si="1"/>
        <v>7</v>
      </c>
      <c r="B8" s="9" t="s">
        <v>6</v>
      </c>
      <c r="E8" s="19"/>
      <c r="O8" s="20"/>
      <c r="P8" s="19"/>
      <c r="AA8" s="19"/>
      <c r="AB8" s="20"/>
      <c r="AD8" s="21"/>
      <c r="AE8" s="19"/>
      <c r="AF8" s="19"/>
      <c r="AH8" s="21"/>
      <c r="AJ8" s="19"/>
      <c r="AL8" s="21"/>
      <c r="AP8" s="19"/>
      <c r="AU8" s="19"/>
      <c r="AY8" s="19"/>
      <c r="BE8" s="19"/>
      <c r="BL8" s="21"/>
      <c r="BP8" s="19"/>
      <c r="BS8" s="19"/>
      <c r="BT8" s="19"/>
      <c r="BW8" s="15"/>
      <c r="BX8" s="15"/>
      <c r="BY8" s="15"/>
      <c r="BZ8" s="15"/>
      <c r="CA8" s="15"/>
      <c r="CB8" s="15"/>
      <c r="CC8" s="15"/>
      <c r="CD8" s="15"/>
      <c r="CE8" s="15"/>
      <c r="CF8" s="15"/>
      <c r="CG8" s="15"/>
      <c r="CH8" s="15"/>
      <c r="CI8" s="15"/>
      <c r="CJ8" s="15"/>
      <c r="CK8" s="15"/>
      <c r="CL8" s="15"/>
      <c r="CM8" s="15"/>
      <c r="CN8" s="15"/>
      <c r="CO8" s="15"/>
      <c r="CP8" s="15"/>
      <c r="CQ8" s="15"/>
      <c r="CR8" s="15"/>
      <c r="CS8" s="15"/>
      <c r="CT8" s="15"/>
      <c r="CU8" s="15"/>
      <c r="CV8" s="15"/>
      <c r="CW8" s="15"/>
      <c r="CX8" s="15"/>
      <c r="CY8" s="15"/>
      <c r="CZ8" s="15"/>
      <c r="DA8" s="15"/>
      <c r="DB8" s="15"/>
      <c r="DC8" s="15"/>
      <c r="DD8" s="15"/>
      <c r="DE8" s="15"/>
      <c r="DF8" s="15"/>
      <c r="DG8" s="15"/>
      <c r="DH8" s="15"/>
      <c r="DI8" s="15"/>
      <c r="DJ8" s="15"/>
      <c r="DK8" s="15"/>
      <c r="DL8" s="15"/>
      <c r="DM8" s="15"/>
      <c r="DN8" s="15"/>
      <c r="DO8" s="15"/>
      <c r="DP8" s="15"/>
      <c r="DQ8" s="15"/>
      <c r="DR8" s="15"/>
      <c r="DS8" s="15"/>
      <c r="DT8" s="15"/>
      <c r="DU8" s="15"/>
      <c r="DV8" s="15"/>
      <c r="DW8" s="15"/>
      <c r="DX8" s="15"/>
      <c r="DY8" s="15"/>
      <c r="DZ8" s="15"/>
      <c r="EA8" s="15"/>
      <c r="EB8" s="15"/>
      <c r="EC8" s="15"/>
      <c r="ED8" s="15"/>
      <c r="EE8" s="15"/>
      <c r="EF8" s="15"/>
      <c r="EG8" s="15"/>
      <c r="EH8" s="15"/>
      <c r="EI8" s="15"/>
      <c r="EJ8" s="15"/>
      <c r="EK8" s="15"/>
      <c r="EL8" s="15"/>
      <c r="EM8" s="15"/>
      <c r="EN8" s="15"/>
      <c r="EO8" s="15"/>
      <c r="EP8" s="15"/>
      <c r="EQ8" s="15"/>
      <c r="ER8" s="15"/>
      <c r="ES8" s="15"/>
      <c r="ET8" s="15"/>
      <c r="EU8" s="15"/>
      <c r="EV8" s="15"/>
      <c r="EW8" s="15"/>
      <c r="EX8" s="15"/>
      <c r="EY8" s="15"/>
      <c r="EZ8" s="15"/>
      <c r="FA8" s="15"/>
      <c r="FB8" s="15"/>
      <c r="FC8" s="15"/>
      <c r="FD8" s="15"/>
      <c r="FE8" s="15"/>
      <c r="FF8" s="15"/>
      <c r="FG8" s="15"/>
      <c r="FH8" s="15"/>
      <c r="FI8" s="15"/>
      <c r="FJ8" s="15"/>
      <c r="FK8" s="15"/>
      <c r="FL8" s="15"/>
      <c r="FM8" s="15"/>
      <c r="FN8" s="15"/>
      <c r="FO8" s="15"/>
      <c r="FP8" s="15"/>
      <c r="FQ8" s="15"/>
      <c r="FR8" s="15"/>
      <c r="FS8" s="15"/>
      <c r="FT8" s="15"/>
      <c r="FU8" s="15"/>
      <c r="FV8" s="15"/>
      <c r="FW8" s="15"/>
      <c r="FX8" s="15"/>
      <c r="FY8" s="15"/>
      <c r="FZ8" s="15"/>
      <c r="GA8" s="15"/>
      <c r="GB8" s="15"/>
      <c r="GC8" s="15"/>
      <c r="GD8" s="15"/>
      <c r="GE8" s="15"/>
      <c r="GF8" s="15"/>
      <c r="GG8" s="15"/>
      <c r="GH8" s="15"/>
      <c r="GI8" s="15"/>
      <c r="GJ8" s="15"/>
      <c r="GK8" s="15"/>
      <c r="GL8" s="15"/>
      <c r="GM8" s="15"/>
      <c r="GN8" s="15"/>
      <c r="GO8" s="15"/>
      <c r="GP8" s="15"/>
      <c r="GQ8" s="15"/>
      <c r="GR8" s="15"/>
      <c r="GS8" s="15"/>
      <c r="GT8" s="15"/>
      <c r="GU8" s="15"/>
      <c r="GV8" s="15"/>
      <c r="GW8" s="15"/>
      <c r="GX8" s="15"/>
      <c r="GY8" s="15"/>
      <c r="GZ8" s="15"/>
      <c r="HA8" s="15"/>
      <c r="HB8" s="15"/>
      <c r="HC8" s="15"/>
      <c r="HD8" s="15"/>
      <c r="HE8" s="15"/>
      <c r="HF8" s="15"/>
      <c r="HG8" s="15"/>
      <c r="HH8" s="15"/>
      <c r="HI8" s="15"/>
      <c r="HJ8" s="15"/>
      <c r="HK8" s="15"/>
      <c r="HL8" s="15"/>
      <c r="HM8" s="15"/>
      <c r="HN8" s="15"/>
      <c r="HO8" s="15"/>
      <c r="HP8" s="15"/>
      <c r="HQ8" s="16"/>
    </row>
    <row r="9" spans="1:225" s="8" customFormat="1" ht="15" customHeight="1" x14ac:dyDescent="0.25">
      <c r="A9" s="9">
        <f t="shared" si="1"/>
        <v>8</v>
      </c>
      <c r="B9" s="9" t="s">
        <v>7</v>
      </c>
      <c r="C9" s="19"/>
      <c r="D9" s="19"/>
      <c r="E9" s="19"/>
      <c r="F9" s="19"/>
      <c r="G9" s="20"/>
      <c r="H9" s="19"/>
      <c r="I9" s="20"/>
      <c r="J9" s="20"/>
      <c r="K9" s="19"/>
      <c r="M9" s="20"/>
      <c r="N9" s="20"/>
      <c r="O9" s="20"/>
      <c r="Q9" s="19"/>
      <c r="R9" s="19"/>
      <c r="S9" s="19"/>
      <c r="T9" s="19"/>
      <c r="U9" s="19"/>
      <c r="V9" s="19"/>
      <c r="W9" s="19"/>
      <c r="X9" s="19"/>
      <c r="Y9" s="19"/>
      <c r="Z9" s="19"/>
      <c r="AA9" s="19"/>
      <c r="AB9" s="19"/>
      <c r="AC9" s="19"/>
      <c r="AD9" s="19"/>
      <c r="AE9" s="19"/>
      <c r="AF9" s="19"/>
      <c r="AG9" s="19"/>
      <c r="AH9" s="19"/>
      <c r="AJ9" s="19"/>
      <c r="AK9" s="19"/>
      <c r="AP9" s="19"/>
      <c r="AQ9" s="20"/>
      <c r="AZ9" s="19"/>
      <c r="BE9" s="19"/>
      <c r="BG9" s="19"/>
      <c r="BH9" s="21"/>
      <c r="BM9" s="19"/>
      <c r="BN9" s="19"/>
      <c r="BO9" s="19"/>
      <c r="BP9" s="19"/>
      <c r="BQ9" s="19"/>
      <c r="BR9" s="19"/>
      <c r="BS9" s="20"/>
      <c r="BT9" s="20"/>
      <c r="BU9" s="19"/>
      <c r="BV9" s="20"/>
      <c r="BW9" s="15"/>
      <c r="BX9" s="15"/>
      <c r="BY9" s="15"/>
      <c r="BZ9" s="15"/>
      <c r="CA9" s="15"/>
      <c r="CB9" s="15"/>
      <c r="CC9" s="15"/>
      <c r="CD9" s="15"/>
      <c r="CE9" s="15"/>
      <c r="CF9" s="15"/>
      <c r="CG9" s="15"/>
      <c r="CH9" s="15"/>
      <c r="CI9" s="15"/>
      <c r="CJ9" s="15"/>
      <c r="CK9" s="15"/>
      <c r="CL9" s="15"/>
      <c r="CM9" s="15"/>
      <c r="CN9" s="15"/>
      <c r="CO9" s="15"/>
      <c r="CP9" s="15"/>
      <c r="CQ9" s="15"/>
      <c r="CR9" s="15"/>
      <c r="CS9" s="15"/>
      <c r="CT9" s="15"/>
      <c r="CU9" s="15"/>
      <c r="CV9" s="15"/>
      <c r="CW9" s="15"/>
      <c r="CX9" s="15"/>
      <c r="CY9" s="15"/>
      <c r="CZ9" s="15"/>
      <c r="DA9" s="15"/>
      <c r="DB9" s="15"/>
      <c r="DC9" s="15"/>
      <c r="DD9" s="15"/>
      <c r="DE9" s="15"/>
      <c r="DF9" s="15"/>
      <c r="DG9" s="15"/>
      <c r="DH9" s="15"/>
      <c r="DI9" s="15"/>
      <c r="DJ9" s="15"/>
      <c r="DK9" s="15"/>
      <c r="DL9" s="15"/>
      <c r="DM9" s="15"/>
      <c r="DN9" s="15"/>
      <c r="DO9" s="15"/>
      <c r="DP9" s="15"/>
      <c r="DQ9" s="15"/>
      <c r="DR9" s="15"/>
      <c r="DS9" s="15"/>
      <c r="DT9" s="15"/>
      <c r="DU9" s="15"/>
      <c r="DV9" s="15"/>
      <c r="DW9" s="15"/>
      <c r="DX9" s="15"/>
      <c r="DY9" s="15"/>
      <c r="DZ9" s="15"/>
      <c r="EA9" s="15"/>
      <c r="EB9" s="15"/>
      <c r="EC9" s="15"/>
      <c r="ED9" s="15"/>
      <c r="EE9" s="15"/>
      <c r="EF9" s="15"/>
      <c r="EG9" s="15"/>
      <c r="EH9" s="15"/>
      <c r="EI9" s="15"/>
      <c r="EJ9" s="15"/>
      <c r="EK9" s="15"/>
      <c r="EL9" s="15"/>
      <c r="EM9" s="15"/>
      <c r="EN9" s="15"/>
      <c r="EO9" s="15"/>
      <c r="EP9" s="15"/>
      <c r="EQ9" s="15"/>
      <c r="ER9" s="15"/>
      <c r="ES9" s="15"/>
      <c r="ET9" s="15"/>
      <c r="EU9" s="15"/>
      <c r="EV9" s="15"/>
      <c r="EW9" s="15"/>
      <c r="EX9" s="15"/>
      <c r="EY9" s="15"/>
      <c r="EZ9" s="15"/>
      <c r="FA9" s="15"/>
      <c r="FB9" s="15"/>
      <c r="FC9" s="15"/>
      <c r="FD9" s="15"/>
      <c r="FE9" s="15"/>
      <c r="FF9" s="15"/>
      <c r="FG9" s="15"/>
      <c r="FH9" s="15"/>
      <c r="FI9" s="15"/>
      <c r="FJ9" s="15"/>
      <c r="FK9" s="15"/>
      <c r="FL9" s="15"/>
      <c r="FM9" s="15"/>
      <c r="FN9" s="15"/>
      <c r="FO9" s="15"/>
      <c r="FP9" s="15"/>
      <c r="FQ9" s="15"/>
      <c r="FR9" s="15"/>
      <c r="FS9" s="15"/>
      <c r="FT9" s="15"/>
      <c r="FU9" s="15"/>
      <c r="FV9" s="15"/>
      <c r="FW9" s="15"/>
      <c r="FX9" s="15"/>
      <c r="FY9" s="15"/>
      <c r="FZ9" s="15"/>
      <c r="GA9" s="15"/>
      <c r="GB9" s="15"/>
      <c r="GC9" s="15"/>
      <c r="GD9" s="15"/>
      <c r="GE9" s="15"/>
      <c r="GF9" s="15"/>
      <c r="GG9" s="15"/>
      <c r="GH9" s="15"/>
      <c r="GI9" s="15"/>
      <c r="GJ9" s="15"/>
      <c r="GK9" s="15"/>
      <c r="GL9" s="15"/>
      <c r="GM9" s="15"/>
      <c r="GN9" s="15"/>
      <c r="GO9" s="15"/>
      <c r="GP9" s="15"/>
      <c r="GQ9" s="15"/>
      <c r="GR9" s="15"/>
      <c r="GS9" s="15"/>
      <c r="GT9" s="15"/>
      <c r="GU9" s="15"/>
      <c r="GV9" s="15"/>
      <c r="GW9" s="15"/>
      <c r="GX9" s="15"/>
      <c r="GY9" s="15"/>
      <c r="GZ9" s="15"/>
      <c r="HA9" s="15"/>
      <c r="HB9" s="15"/>
      <c r="HC9" s="15"/>
      <c r="HD9" s="15"/>
      <c r="HE9" s="15"/>
      <c r="HF9" s="15"/>
      <c r="HG9" s="15"/>
      <c r="HH9" s="15"/>
      <c r="HI9" s="15"/>
      <c r="HJ9" s="15"/>
      <c r="HK9" s="15"/>
      <c r="HL9" s="15"/>
      <c r="HM9" s="15"/>
      <c r="HN9" s="15"/>
      <c r="HO9" s="15"/>
      <c r="HP9" s="15"/>
      <c r="HQ9" s="16"/>
    </row>
    <row r="10" spans="1:225" s="8" customFormat="1" ht="15" customHeight="1" x14ac:dyDescent="0.25">
      <c r="A10" s="9">
        <f t="shared" si="1"/>
        <v>9</v>
      </c>
      <c r="B10" s="9" t="s">
        <v>8</v>
      </c>
      <c r="L10" s="19"/>
      <c r="R10" s="19"/>
      <c r="U10" s="19"/>
      <c r="AG10" s="19"/>
      <c r="BW10" s="15"/>
      <c r="BX10" s="15"/>
      <c r="BY10" s="15"/>
      <c r="BZ10" s="15"/>
      <c r="CA10" s="15"/>
      <c r="CB10" s="15"/>
      <c r="CC10" s="15"/>
      <c r="CD10" s="15"/>
      <c r="CE10" s="15"/>
      <c r="CF10" s="15"/>
      <c r="CG10" s="15"/>
      <c r="CH10" s="15"/>
      <c r="CI10" s="15"/>
      <c r="CJ10" s="15"/>
      <c r="CK10" s="15"/>
      <c r="CL10" s="15"/>
      <c r="CM10" s="15"/>
      <c r="CN10" s="15"/>
      <c r="CO10" s="15"/>
      <c r="CP10" s="15"/>
      <c r="CQ10" s="15"/>
      <c r="CR10" s="15"/>
      <c r="CS10" s="15"/>
      <c r="CT10" s="15"/>
      <c r="CU10" s="15"/>
      <c r="CV10" s="15"/>
      <c r="CW10" s="15"/>
      <c r="CX10" s="15"/>
      <c r="CY10" s="15"/>
      <c r="CZ10" s="15"/>
      <c r="DA10" s="15"/>
      <c r="DB10" s="15"/>
      <c r="DC10" s="15"/>
      <c r="DD10" s="15"/>
      <c r="DE10" s="15"/>
      <c r="DF10" s="15"/>
      <c r="DG10" s="15"/>
      <c r="DH10" s="15"/>
      <c r="DI10" s="15"/>
      <c r="DJ10" s="15"/>
      <c r="DK10" s="15"/>
      <c r="DL10" s="15"/>
      <c r="DM10" s="15"/>
      <c r="DN10" s="15"/>
      <c r="DO10" s="15"/>
      <c r="DP10" s="15"/>
      <c r="DQ10" s="15"/>
      <c r="DR10" s="15"/>
      <c r="DS10" s="15"/>
      <c r="DT10" s="15"/>
      <c r="DU10" s="15"/>
      <c r="DV10" s="15"/>
      <c r="DW10" s="15"/>
      <c r="DX10" s="15"/>
      <c r="DY10" s="15"/>
      <c r="DZ10" s="15"/>
      <c r="EA10" s="15"/>
      <c r="EB10" s="15"/>
      <c r="EC10" s="15"/>
      <c r="ED10" s="15"/>
      <c r="EE10" s="15"/>
      <c r="EF10" s="15"/>
      <c r="EG10" s="15"/>
      <c r="EH10" s="15"/>
      <c r="EI10" s="15"/>
      <c r="EJ10" s="15"/>
      <c r="EK10" s="15"/>
      <c r="EL10" s="15"/>
      <c r="EM10" s="15"/>
      <c r="EN10" s="15"/>
      <c r="EO10" s="15"/>
      <c r="EP10" s="15"/>
      <c r="EQ10" s="15"/>
      <c r="ER10" s="15"/>
      <c r="ES10" s="15"/>
      <c r="ET10" s="15"/>
      <c r="EU10" s="15"/>
      <c r="EV10" s="15"/>
      <c r="EW10" s="15"/>
      <c r="EX10" s="15"/>
      <c r="EY10" s="15"/>
      <c r="EZ10" s="15"/>
      <c r="FA10" s="15"/>
      <c r="FB10" s="15"/>
      <c r="FC10" s="15"/>
      <c r="FD10" s="15"/>
      <c r="FE10" s="15"/>
      <c r="FF10" s="15"/>
      <c r="FG10" s="15"/>
      <c r="FH10" s="15"/>
      <c r="FI10" s="15"/>
      <c r="FJ10" s="15"/>
      <c r="FK10" s="15"/>
      <c r="FL10" s="15"/>
      <c r="FM10" s="15"/>
      <c r="FN10" s="15"/>
      <c r="FO10" s="15"/>
      <c r="FP10" s="15"/>
      <c r="FQ10" s="15"/>
      <c r="FR10" s="15"/>
      <c r="FS10" s="15"/>
      <c r="FT10" s="15"/>
      <c r="FU10" s="15"/>
      <c r="FV10" s="15"/>
      <c r="FW10" s="15"/>
      <c r="FX10" s="15"/>
      <c r="FY10" s="15"/>
      <c r="FZ10" s="15"/>
      <c r="GA10" s="15"/>
      <c r="GB10" s="15"/>
      <c r="GC10" s="15"/>
      <c r="GD10" s="15"/>
      <c r="GE10" s="15"/>
      <c r="GF10" s="15"/>
      <c r="GG10" s="15"/>
      <c r="GH10" s="15"/>
      <c r="GI10" s="15"/>
      <c r="GJ10" s="15"/>
      <c r="GK10" s="15"/>
      <c r="GL10" s="15"/>
      <c r="GM10" s="15"/>
      <c r="GN10" s="15"/>
      <c r="GO10" s="15"/>
      <c r="GP10" s="15"/>
      <c r="GQ10" s="15"/>
      <c r="GR10" s="15"/>
      <c r="GS10" s="15"/>
      <c r="GT10" s="15"/>
      <c r="GU10" s="15"/>
      <c r="GV10" s="15"/>
      <c r="GW10" s="15"/>
      <c r="GX10" s="15"/>
      <c r="GY10" s="15"/>
      <c r="GZ10" s="15"/>
      <c r="HA10" s="15"/>
      <c r="HB10" s="15"/>
      <c r="HC10" s="15"/>
      <c r="HD10" s="15"/>
      <c r="HE10" s="15"/>
      <c r="HF10" s="15"/>
      <c r="HG10" s="15"/>
      <c r="HH10" s="15"/>
      <c r="HI10" s="15"/>
      <c r="HJ10" s="15"/>
      <c r="HK10" s="15"/>
      <c r="HL10" s="15"/>
      <c r="HM10" s="15"/>
      <c r="HN10" s="15"/>
      <c r="HO10" s="15"/>
      <c r="HP10" s="15"/>
      <c r="HQ10" s="16"/>
    </row>
    <row r="11" spans="1:225" s="8" customFormat="1" ht="15" customHeight="1" x14ac:dyDescent="0.25">
      <c r="A11" s="9">
        <f t="shared" si="1"/>
        <v>10</v>
      </c>
      <c r="B11" s="9" t="s">
        <v>9</v>
      </c>
      <c r="F11" s="19"/>
      <c r="G11" s="20"/>
      <c r="H11" s="20"/>
      <c r="M11" s="19"/>
      <c r="N11" s="19"/>
      <c r="R11" s="19"/>
      <c r="S11" s="20"/>
      <c r="U11" s="19"/>
      <c r="V11" s="20"/>
      <c r="Y11" s="19"/>
      <c r="Z11" s="20"/>
      <c r="AA11" s="20"/>
      <c r="AB11" s="20"/>
      <c r="AE11" s="19"/>
      <c r="AF11" s="20"/>
      <c r="AG11" s="20"/>
      <c r="AH11" s="20"/>
      <c r="AJ11" s="19"/>
      <c r="AL11" s="19"/>
      <c r="AM11" s="19"/>
      <c r="AO11" s="19"/>
      <c r="AP11" s="20"/>
      <c r="AU11" s="19"/>
      <c r="AV11" s="19"/>
      <c r="AY11" s="19"/>
      <c r="AZ11" s="19"/>
      <c r="BB11" s="19"/>
      <c r="BC11" s="19"/>
      <c r="BD11" s="19"/>
      <c r="BE11" s="19"/>
      <c r="BF11" s="19"/>
      <c r="BG11" s="19"/>
      <c r="BH11" s="19"/>
      <c r="BJ11" s="19"/>
      <c r="BK11" s="19"/>
      <c r="BL11" s="19"/>
      <c r="BM11" s="19"/>
      <c r="BN11" s="13"/>
      <c r="BO11" s="20"/>
      <c r="BP11" s="20"/>
      <c r="BQ11" s="20"/>
      <c r="BR11" s="20"/>
      <c r="BS11" s="20"/>
      <c r="BT11" s="19"/>
      <c r="BU11" s="19"/>
      <c r="BV11" s="20"/>
      <c r="BW11" s="15"/>
      <c r="BX11" s="15"/>
      <c r="BY11" s="15"/>
      <c r="BZ11" s="15"/>
      <c r="CA11" s="15"/>
      <c r="CB11" s="15"/>
      <c r="CC11" s="15"/>
      <c r="CD11" s="15"/>
      <c r="CE11" s="15"/>
      <c r="CF11" s="15"/>
      <c r="CG11" s="15"/>
      <c r="CH11" s="15"/>
      <c r="CI11" s="15"/>
      <c r="CJ11" s="15"/>
      <c r="CK11" s="15"/>
      <c r="CL11" s="15"/>
      <c r="CM11" s="15"/>
      <c r="CN11" s="15"/>
      <c r="CO11" s="15"/>
      <c r="CP11" s="15"/>
      <c r="CQ11" s="15"/>
      <c r="CR11" s="15"/>
      <c r="CS11" s="15"/>
      <c r="CT11" s="15"/>
      <c r="CU11" s="15"/>
      <c r="CV11" s="15"/>
      <c r="CW11" s="15"/>
      <c r="CX11" s="15"/>
      <c r="CY11" s="15"/>
      <c r="CZ11" s="15"/>
      <c r="DA11" s="15"/>
      <c r="DB11" s="15"/>
      <c r="DC11" s="15"/>
      <c r="DD11" s="15"/>
      <c r="DE11" s="15"/>
      <c r="DF11" s="15"/>
      <c r="DG11" s="15"/>
      <c r="DH11" s="15"/>
      <c r="DI11" s="15"/>
      <c r="DJ11" s="15"/>
      <c r="DK11" s="15"/>
      <c r="DL11" s="15"/>
      <c r="DM11" s="15"/>
      <c r="DN11" s="15"/>
      <c r="DO11" s="15"/>
      <c r="DP11" s="15"/>
      <c r="DQ11" s="15"/>
      <c r="DR11" s="15"/>
      <c r="DS11" s="15"/>
      <c r="DT11" s="15"/>
      <c r="DU11" s="15"/>
      <c r="DV11" s="15"/>
      <c r="DW11" s="15"/>
      <c r="DX11" s="15"/>
      <c r="DY11" s="15"/>
      <c r="DZ11" s="15"/>
      <c r="EA11" s="15"/>
      <c r="EB11" s="15"/>
      <c r="EC11" s="15"/>
      <c r="ED11" s="15"/>
      <c r="EE11" s="15"/>
      <c r="EF11" s="15"/>
      <c r="EG11" s="15"/>
      <c r="EH11" s="15"/>
      <c r="EI11" s="15"/>
      <c r="EJ11" s="15"/>
      <c r="EK11" s="15"/>
      <c r="EL11" s="15"/>
      <c r="EM11" s="15"/>
      <c r="EN11" s="15"/>
      <c r="EO11" s="15"/>
      <c r="EP11" s="15"/>
      <c r="EQ11" s="15"/>
      <c r="ER11" s="15"/>
      <c r="ES11" s="15"/>
      <c r="ET11" s="15"/>
      <c r="EU11" s="15"/>
      <c r="EV11" s="15"/>
      <c r="EW11" s="15"/>
      <c r="EX11" s="15"/>
      <c r="EY11" s="15"/>
      <c r="EZ11" s="15"/>
      <c r="FA11" s="15"/>
      <c r="FB11" s="15"/>
      <c r="FC11" s="15"/>
      <c r="FD11" s="15"/>
      <c r="FE11" s="15"/>
      <c r="FF11" s="15"/>
      <c r="FG11" s="15"/>
      <c r="FH11" s="15"/>
      <c r="FI11" s="15"/>
      <c r="FJ11" s="15"/>
      <c r="FK11" s="15"/>
      <c r="FL11" s="15"/>
      <c r="FM11" s="15"/>
      <c r="FN11" s="15"/>
      <c r="FO11" s="15"/>
      <c r="FP11" s="15"/>
      <c r="FQ11" s="15"/>
      <c r="FR11" s="15"/>
      <c r="FS11" s="15"/>
      <c r="FT11" s="15"/>
      <c r="FU11" s="15"/>
      <c r="FV11" s="15"/>
      <c r="FW11" s="15"/>
      <c r="FX11" s="15"/>
      <c r="FY11" s="15"/>
      <c r="FZ11" s="15"/>
      <c r="GA11" s="15"/>
      <c r="GB11" s="15"/>
      <c r="GC11" s="15"/>
      <c r="GD11" s="15"/>
      <c r="GE11" s="15"/>
      <c r="GF11" s="15"/>
      <c r="GG11" s="15"/>
      <c r="GH11" s="15"/>
      <c r="GI11" s="15"/>
      <c r="GJ11" s="15"/>
      <c r="GK11" s="15"/>
      <c r="GL11" s="15"/>
      <c r="GM11" s="15"/>
      <c r="GN11" s="15"/>
      <c r="GO11" s="15"/>
      <c r="GP11" s="15"/>
      <c r="GQ11" s="15"/>
      <c r="GR11" s="15"/>
      <c r="GS11" s="15"/>
      <c r="GT11" s="15"/>
      <c r="GU11" s="15"/>
      <c r="GV11" s="15"/>
      <c r="GW11" s="15"/>
      <c r="GX11" s="15"/>
      <c r="GY11" s="15"/>
      <c r="GZ11" s="15"/>
      <c r="HA11" s="15"/>
      <c r="HB11" s="15"/>
      <c r="HC11" s="15"/>
      <c r="HD11" s="15"/>
      <c r="HE11" s="15"/>
      <c r="HF11" s="15"/>
      <c r="HG11" s="15"/>
      <c r="HH11" s="15"/>
      <c r="HI11" s="15"/>
      <c r="HJ11" s="15"/>
      <c r="HK11" s="15"/>
      <c r="HL11" s="15"/>
      <c r="HM11" s="15"/>
      <c r="HN11" s="15"/>
      <c r="HO11" s="15"/>
      <c r="HP11" s="15"/>
      <c r="HQ11" s="16"/>
    </row>
    <row r="12" spans="1:225" ht="15" customHeight="1" x14ac:dyDescent="0.25">
      <c r="A12" s="9">
        <f t="shared" si="1"/>
        <v>11</v>
      </c>
      <c r="B12" s="9" t="s">
        <v>10</v>
      </c>
      <c r="C12" s="8"/>
      <c r="D12" s="19"/>
      <c r="E12" s="8"/>
      <c r="F12" s="20"/>
      <c r="G12" s="20"/>
      <c r="H12" s="20"/>
      <c r="I12" s="20"/>
      <c r="J12" s="20"/>
      <c r="K12" s="20"/>
      <c r="L12" s="20"/>
      <c r="M12" s="20"/>
      <c r="N12" s="20"/>
      <c r="O12" s="20"/>
      <c r="P12" s="20"/>
      <c r="Q12" s="20"/>
      <c r="R12" s="20"/>
      <c r="S12" s="20"/>
      <c r="T12" s="20"/>
      <c r="U12" s="20"/>
      <c r="V12" s="20"/>
      <c r="W12" s="20"/>
      <c r="X12" s="20"/>
      <c r="Y12" s="20"/>
      <c r="Z12" s="20"/>
      <c r="AA12" s="20"/>
      <c r="AB12" s="20"/>
      <c r="AC12" s="19"/>
      <c r="AD12" s="19"/>
      <c r="AE12" s="20"/>
      <c r="AF12" s="20"/>
      <c r="AG12" s="20"/>
      <c r="AH12" s="20"/>
      <c r="AI12" s="19"/>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19"/>
      <c r="BU12" s="19"/>
      <c r="BV12" s="20"/>
    </row>
    <row r="13" spans="1:225" ht="15" customHeight="1" x14ac:dyDescent="0.25">
      <c r="A13" s="9">
        <f t="shared" si="1"/>
        <v>12</v>
      </c>
      <c r="B13" s="9" t="s">
        <v>11</v>
      </c>
      <c r="C13" s="8"/>
      <c r="D13" s="8"/>
      <c r="E13" s="8"/>
      <c r="F13" s="19"/>
      <c r="G13" s="8"/>
      <c r="H13" s="8"/>
      <c r="I13" s="8"/>
      <c r="J13" s="8"/>
      <c r="K13" s="19"/>
      <c r="L13" s="20"/>
      <c r="M13" s="8"/>
      <c r="N13" s="8"/>
      <c r="O13" s="8"/>
      <c r="P13" s="8"/>
      <c r="Q13" s="8"/>
      <c r="R13" s="19"/>
      <c r="S13" s="8"/>
      <c r="T13" s="8"/>
      <c r="U13" s="8"/>
      <c r="V13" s="8"/>
      <c r="W13" s="8"/>
      <c r="X13" s="8"/>
      <c r="Y13" s="8"/>
      <c r="Z13" s="8"/>
      <c r="AA13" s="8"/>
      <c r="AB13" s="8"/>
      <c r="AC13" s="8"/>
      <c r="AD13" s="8"/>
      <c r="AE13" s="8"/>
      <c r="AF13" s="8"/>
      <c r="AG13" s="8"/>
      <c r="AH13" s="8"/>
      <c r="AI13" s="8"/>
      <c r="AJ13" s="8"/>
      <c r="AK13" s="19"/>
      <c r="AL13" s="20"/>
      <c r="AM13" s="8"/>
      <c r="AN13" s="8"/>
      <c r="AO13" s="8"/>
      <c r="AP13" s="19"/>
      <c r="AQ13" s="8"/>
      <c r="AR13" s="8"/>
      <c r="AS13" s="8"/>
      <c r="AT13" s="19"/>
      <c r="AU13" s="20"/>
      <c r="AV13" s="8"/>
      <c r="AW13" s="8"/>
      <c r="AX13" s="8"/>
      <c r="AY13" s="8"/>
      <c r="AZ13" s="8"/>
      <c r="BA13" s="8"/>
      <c r="BB13" s="19"/>
      <c r="BC13" s="8"/>
      <c r="BD13" s="8"/>
      <c r="BE13" s="8"/>
      <c r="BF13" s="8"/>
      <c r="BG13" s="8"/>
      <c r="BH13" s="19"/>
      <c r="BI13" s="8"/>
      <c r="BJ13" s="8"/>
      <c r="BK13" s="8"/>
      <c r="BL13" s="8"/>
      <c r="BM13" s="8"/>
      <c r="BN13" s="8"/>
      <c r="BO13" s="8"/>
      <c r="BP13" s="20"/>
      <c r="BQ13" s="20"/>
      <c r="BR13" s="8"/>
      <c r="BS13" s="8"/>
      <c r="BT13" s="19"/>
      <c r="BU13" s="8"/>
      <c r="BV13" s="19"/>
    </row>
    <row r="14" spans="1:225" ht="15" customHeight="1" x14ac:dyDescent="0.25">
      <c r="A14" s="9">
        <f t="shared" si="1"/>
        <v>13</v>
      </c>
      <c r="B14" s="9" t="s">
        <v>12</v>
      </c>
      <c r="C14" s="8"/>
      <c r="D14" s="8"/>
      <c r="E14" s="8"/>
      <c r="F14" s="8"/>
      <c r="G14" s="8"/>
      <c r="H14" s="8"/>
      <c r="I14" s="8"/>
      <c r="J14" s="8"/>
      <c r="K14" s="19"/>
      <c r="L14" s="19"/>
      <c r="M14" s="8"/>
      <c r="N14" s="19"/>
      <c r="O14" s="8"/>
      <c r="P14" s="8"/>
      <c r="Q14" s="8"/>
      <c r="R14" s="19"/>
      <c r="S14" s="8"/>
      <c r="T14" s="19"/>
      <c r="U14" s="19"/>
      <c r="V14" s="8"/>
      <c r="W14" s="8"/>
      <c r="X14" s="8"/>
      <c r="Y14" s="8"/>
      <c r="Z14" s="8"/>
      <c r="AA14" s="19"/>
      <c r="AB14" s="8"/>
      <c r="AC14" s="8"/>
      <c r="AD14" s="8"/>
      <c r="AE14" s="8"/>
      <c r="AF14" s="19"/>
      <c r="AG14" s="8"/>
      <c r="AH14" s="8"/>
      <c r="AI14" s="8"/>
      <c r="AJ14" s="8"/>
      <c r="AK14" s="8"/>
      <c r="AL14" s="8"/>
      <c r="AM14" s="19"/>
      <c r="AN14" s="8"/>
      <c r="AO14" s="8"/>
      <c r="AP14" s="19"/>
      <c r="AQ14" s="20"/>
      <c r="AR14" s="8"/>
      <c r="AS14" s="8"/>
      <c r="AT14" s="8"/>
      <c r="AU14" s="8"/>
      <c r="AV14" s="8"/>
      <c r="AW14" s="8"/>
      <c r="AX14" s="8"/>
      <c r="AY14" s="8"/>
      <c r="AZ14" s="8"/>
      <c r="BA14" s="8"/>
      <c r="BB14" s="19"/>
      <c r="BC14" s="20"/>
      <c r="BD14" s="8"/>
      <c r="BE14" s="8"/>
      <c r="BF14" s="8"/>
      <c r="BG14" s="19"/>
      <c r="BH14" s="19"/>
      <c r="BI14" s="8"/>
      <c r="BJ14" s="8"/>
      <c r="BK14" s="19"/>
      <c r="BL14" s="19"/>
      <c r="BM14" s="8"/>
      <c r="BN14" s="8"/>
      <c r="BO14" s="8"/>
      <c r="BP14" s="20"/>
      <c r="BQ14" s="20"/>
      <c r="BR14" s="8"/>
      <c r="BS14" s="8"/>
      <c r="BT14" s="8"/>
      <c r="BU14" s="8"/>
      <c r="BV14" s="8"/>
    </row>
    <row r="15" spans="1:225" ht="15" customHeight="1" x14ac:dyDescent="0.25">
      <c r="A15" s="9">
        <f t="shared" si="1"/>
        <v>14</v>
      </c>
      <c r="B15" s="9" t="s">
        <v>13</v>
      </c>
      <c r="C15" s="21"/>
      <c r="D15" s="8"/>
      <c r="E15" s="8"/>
      <c r="F15" s="19"/>
      <c r="G15" s="20"/>
      <c r="H15" s="20"/>
      <c r="I15" s="8"/>
      <c r="J15" s="20"/>
      <c r="K15" s="20"/>
      <c r="L15" s="20"/>
      <c r="M15" s="20"/>
      <c r="N15" s="20"/>
      <c r="O15" s="20"/>
      <c r="P15" s="19"/>
      <c r="Q15" s="19"/>
      <c r="R15" s="19"/>
      <c r="S15" s="19"/>
      <c r="T15" s="21"/>
      <c r="U15" s="19"/>
      <c r="V15" s="20"/>
      <c r="W15" s="19"/>
      <c r="X15" s="20"/>
      <c r="Y15" s="8"/>
      <c r="Z15" s="19"/>
      <c r="AA15" s="20"/>
      <c r="AB15" s="8"/>
      <c r="AC15" s="19"/>
      <c r="AD15" s="8"/>
      <c r="AE15" s="8"/>
      <c r="AF15" s="8"/>
      <c r="AG15" s="8"/>
      <c r="AH15" s="8"/>
      <c r="AI15" s="8"/>
      <c r="AJ15" s="8"/>
      <c r="AK15" s="19"/>
      <c r="AL15" s="8"/>
      <c r="AM15" s="8"/>
      <c r="AN15" s="8"/>
      <c r="AO15" s="20"/>
      <c r="AP15" s="20"/>
      <c r="AQ15" s="20"/>
      <c r="AR15" s="19"/>
      <c r="AS15" s="20"/>
      <c r="AT15" s="20"/>
      <c r="AU15" s="20"/>
      <c r="AV15" s="20"/>
      <c r="AW15" s="19"/>
      <c r="AX15" s="19"/>
      <c r="AY15" s="19"/>
      <c r="AZ15" s="19"/>
      <c r="BA15" s="8"/>
      <c r="BB15" s="19"/>
      <c r="BC15" s="8"/>
      <c r="BD15" s="8"/>
      <c r="BE15" s="8"/>
      <c r="BF15" s="8"/>
      <c r="BG15" s="19"/>
      <c r="BH15" s="19"/>
      <c r="BI15" s="21"/>
      <c r="BJ15" s="8"/>
      <c r="BK15" s="20"/>
      <c r="BL15" s="20"/>
      <c r="BM15" s="19"/>
      <c r="BN15" s="8"/>
      <c r="BO15" s="8"/>
      <c r="BP15" s="19"/>
      <c r="BQ15" s="20"/>
      <c r="BR15" s="20"/>
      <c r="BS15" s="20"/>
      <c r="BT15" s="20"/>
      <c r="BU15" s="19"/>
      <c r="BV15" s="20"/>
    </row>
    <row r="16" spans="1:225" ht="15" customHeight="1" x14ac:dyDescent="0.25">
      <c r="A16" s="9">
        <f t="shared" si="1"/>
        <v>15</v>
      </c>
      <c r="B16" s="9" t="s">
        <v>14</v>
      </c>
      <c r="C16" s="19"/>
      <c r="D16" s="8"/>
      <c r="E16" s="8"/>
      <c r="F16" s="20"/>
      <c r="G16" s="20"/>
      <c r="H16" s="8"/>
      <c r="I16" s="8"/>
      <c r="J16" s="19"/>
      <c r="K16" s="8"/>
      <c r="L16" s="19"/>
      <c r="M16" s="20"/>
      <c r="N16" s="20"/>
      <c r="O16" s="20"/>
      <c r="P16" s="20"/>
      <c r="Q16" s="8"/>
      <c r="R16" s="19"/>
      <c r="S16" s="20"/>
      <c r="T16" s="19"/>
      <c r="U16" s="20"/>
      <c r="V16" s="8"/>
      <c r="W16" s="19"/>
      <c r="X16" s="8"/>
      <c r="Y16" s="8"/>
      <c r="Z16" s="8"/>
      <c r="AA16" s="19"/>
      <c r="AB16" s="8"/>
      <c r="AC16" s="8"/>
      <c r="AD16" s="8"/>
      <c r="AE16" s="8"/>
      <c r="AF16" s="19"/>
      <c r="AG16" s="19"/>
      <c r="AH16" s="20"/>
      <c r="AI16" s="8"/>
      <c r="AJ16" s="8"/>
      <c r="AK16" s="8"/>
      <c r="AL16" s="8"/>
      <c r="AM16" s="19"/>
      <c r="AN16" s="8"/>
      <c r="AO16" s="8"/>
      <c r="AP16" s="19"/>
      <c r="AQ16" s="8"/>
      <c r="AR16" s="8"/>
      <c r="AS16" s="8"/>
      <c r="AT16" s="19"/>
      <c r="AU16" s="19"/>
      <c r="AV16" s="19"/>
      <c r="AW16" s="8"/>
      <c r="AX16" s="8"/>
      <c r="AY16" s="8"/>
      <c r="AZ16" s="8"/>
      <c r="BA16" s="8"/>
      <c r="BB16" s="8"/>
      <c r="BC16" s="8"/>
      <c r="BD16" s="8"/>
      <c r="BE16" s="8"/>
      <c r="BF16" s="8"/>
      <c r="BG16" s="8"/>
      <c r="BH16" s="19"/>
      <c r="BI16" s="19"/>
      <c r="BJ16" s="8"/>
      <c r="BK16" s="8"/>
      <c r="BL16" s="19"/>
      <c r="BM16" s="19"/>
      <c r="BN16" s="8"/>
      <c r="BO16" s="8"/>
      <c r="BP16" s="19"/>
      <c r="BQ16" s="19"/>
      <c r="BR16" s="19"/>
      <c r="BS16" s="8"/>
      <c r="BT16" s="19"/>
      <c r="BU16" s="19"/>
      <c r="BV16" s="19"/>
    </row>
    <row r="17" spans="1:224" s="23" customFormat="1" ht="15" customHeight="1" x14ac:dyDescent="0.25">
      <c r="A17" s="10">
        <f t="shared" si="1"/>
        <v>16</v>
      </c>
      <c r="B17" s="10" t="s">
        <v>498</v>
      </c>
      <c r="C17" s="12"/>
      <c r="D17" s="11"/>
      <c r="E17" s="11"/>
      <c r="F17" s="20"/>
      <c r="G17" s="20"/>
      <c r="H17" s="21"/>
      <c r="I17" s="21"/>
      <c r="J17" s="12"/>
      <c r="K17" s="11"/>
      <c r="L17" s="19"/>
      <c r="M17" s="20"/>
      <c r="N17" s="20"/>
      <c r="O17" s="20"/>
      <c r="P17" s="42"/>
      <c r="Q17" s="21"/>
      <c r="R17" s="19"/>
      <c r="S17" s="20"/>
      <c r="T17" s="19"/>
      <c r="U17" s="20"/>
      <c r="V17" s="11"/>
      <c r="W17" s="19"/>
      <c r="X17" s="21"/>
      <c r="Y17" s="21"/>
      <c r="Z17" s="11"/>
      <c r="AA17" s="19"/>
      <c r="AB17" s="11"/>
      <c r="AC17" s="11"/>
      <c r="AD17" s="21"/>
      <c r="AE17" s="11"/>
      <c r="AF17" s="19"/>
      <c r="AG17" s="12"/>
      <c r="AH17" s="20"/>
      <c r="AI17" s="11"/>
      <c r="AJ17" s="21"/>
      <c r="AK17" s="11"/>
      <c r="AL17" s="21"/>
      <c r="AM17" s="19"/>
      <c r="AN17" s="11"/>
      <c r="AO17" s="11"/>
      <c r="AP17" s="12"/>
      <c r="AQ17" s="21"/>
      <c r="AR17" s="21"/>
      <c r="AS17" s="21"/>
      <c r="AT17" s="19"/>
      <c r="AU17" s="19"/>
      <c r="AV17" s="19"/>
      <c r="AW17" s="21"/>
      <c r="AX17" s="11"/>
      <c r="AY17" s="11"/>
      <c r="AZ17" s="11"/>
      <c r="BA17" s="11"/>
      <c r="BB17" s="21"/>
      <c r="BC17" s="11"/>
      <c r="BD17" s="11"/>
      <c r="BE17" s="21"/>
      <c r="BF17" s="11"/>
      <c r="BG17" s="21"/>
      <c r="BH17" s="19"/>
      <c r="BI17" s="12"/>
      <c r="BJ17" s="21"/>
      <c r="BK17" s="21"/>
      <c r="BL17" s="12"/>
      <c r="BM17" s="12"/>
      <c r="BN17" s="11"/>
      <c r="BO17" s="11"/>
      <c r="BP17" s="19"/>
      <c r="BQ17" s="12"/>
      <c r="BR17" s="12"/>
      <c r="BS17" s="11"/>
      <c r="BT17" s="12"/>
      <c r="BU17" s="12"/>
      <c r="BV17" s="12"/>
      <c r="BW17" s="15"/>
      <c r="BX17" s="15"/>
      <c r="BY17" s="15"/>
      <c r="BZ17" s="15"/>
      <c r="CA17" s="15"/>
      <c r="CB17" s="15"/>
      <c r="CC17" s="15"/>
      <c r="CD17" s="15"/>
      <c r="CE17" s="15"/>
      <c r="CF17" s="15"/>
      <c r="CG17" s="15"/>
      <c r="CH17" s="15"/>
      <c r="CI17" s="15"/>
      <c r="CJ17" s="15"/>
      <c r="CK17" s="15"/>
      <c r="CL17" s="15"/>
      <c r="CM17" s="15"/>
      <c r="CN17" s="15"/>
      <c r="CO17" s="15"/>
      <c r="CP17" s="15"/>
      <c r="CQ17" s="15"/>
      <c r="CR17" s="15"/>
      <c r="CS17" s="15"/>
      <c r="CT17" s="15"/>
      <c r="CU17" s="15"/>
      <c r="CV17" s="15"/>
      <c r="CW17" s="15"/>
      <c r="CX17" s="15"/>
      <c r="CY17" s="15"/>
      <c r="CZ17" s="15"/>
      <c r="DA17" s="15"/>
      <c r="DB17" s="15"/>
      <c r="DC17" s="15"/>
      <c r="DD17" s="15"/>
      <c r="DE17" s="15"/>
      <c r="DF17" s="15"/>
      <c r="DG17" s="15"/>
      <c r="DH17" s="15"/>
      <c r="DI17" s="15"/>
      <c r="DJ17" s="15"/>
      <c r="DK17" s="15"/>
      <c r="DL17" s="15"/>
      <c r="DM17" s="15"/>
      <c r="DN17" s="15"/>
      <c r="DO17" s="15"/>
      <c r="DP17" s="15"/>
      <c r="DQ17" s="15"/>
      <c r="DR17" s="15"/>
      <c r="DS17" s="15"/>
      <c r="DT17" s="15"/>
      <c r="DU17" s="15"/>
      <c r="DV17" s="15"/>
      <c r="DW17" s="15"/>
      <c r="DX17" s="15"/>
      <c r="DY17" s="15"/>
      <c r="DZ17" s="15"/>
      <c r="EA17" s="15"/>
      <c r="EB17" s="15"/>
      <c r="EC17" s="15"/>
      <c r="ED17" s="15"/>
      <c r="EE17" s="15"/>
      <c r="EF17" s="15"/>
      <c r="EG17" s="15"/>
      <c r="EH17" s="15"/>
      <c r="EI17" s="15"/>
      <c r="EJ17" s="15"/>
      <c r="EK17" s="15"/>
      <c r="EL17" s="15"/>
      <c r="EM17" s="15"/>
      <c r="EN17" s="15"/>
      <c r="EO17" s="15"/>
      <c r="EP17" s="15"/>
      <c r="EQ17" s="15"/>
      <c r="ER17" s="15"/>
      <c r="ES17" s="15"/>
      <c r="ET17" s="15"/>
      <c r="EU17" s="15"/>
      <c r="EV17" s="15"/>
      <c r="EW17" s="15"/>
      <c r="EX17" s="15"/>
      <c r="EY17" s="15"/>
      <c r="EZ17" s="15"/>
      <c r="FA17" s="15"/>
      <c r="FB17" s="15"/>
      <c r="FC17" s="15"/>
      <c r="FD17" s="15"/>
      <c r="FE17" s="15"/>
      <c r="FF17" s="15"/>
      <c r="FG17" s="15"/>
      <c r="FH17" s="15"/>
      <c r="FI17" s="15"/>
      <c r="FJ17" s="15"/>
      <c r="FK17" s="15"/>
      <c r="FL17" s="15"/>
      <c r="FM17" s="15"/>
      <c r="FN17" s="15"/>
      <c r="FO17" s="15"/>
      <c r="FP17" s="15"/>
      <c r="FQ17" s="15"/>
      <c r="FR17" s="15"/>
      <c r="FS17" s="15"/>
      <c r="FT17" s="15"/>
      <c r="FU17" s="15"/>
      <c r="FV17" s="15"/>
      <c r="FW17" s="15"/>
      <c r="FX17" s="15"/>
      <c r="FY17" s="15"/>
      <c r="FZ17" s="15"/>
      <c r="GA17" s="15"/>
      <c r="GB17" s="15"/>
      <c r="GC17" s="15"/>
      <c r="GD17" s="15"/>
      <c r="GE17" s="15"/>
      <c r="GF17" s="15"/>
      <c r="GG17" s="15"/>
      <c r="GH17" s="15"/>
      <c r="GI17" s="15"/>
      <c r="GJ17" s="15"/>
      <c r="GK17" s="15"/>
      <c r="GL17" s="15"/>
      <c r="GM17" s="15"/>
      <c r="GN17" s="15"/>
      <c r="GO17" s="15"/>
      <c r="GP17" s="15"/>
      <c r="GQ17" s="15"/>
      <c r="GR17" s="15"/>
      <c r="GS17" s="15"/>
      <c r="GT17" s="15"/>
      <c r="GU17" s="15"/>
      <c r="GV17" s="15"/>
      <c r="GW17" s="15"/>
      <c r="GX17" s="15"/>
      <c r="GY17" s="15"/>
      <c r="GZ17" s="15"/>
      <c r="HA17" s="15"/>
      <c r="HB17" s="15"/>
      <c r="HC17" s="15"/>
      <c r="HD17" s="15"/>
      <c r="HE17" s="15"/>
      <c r="HF17" s="15"/>
      <c r="HG17" s="15"/>
      <c r="HH17" s="15"/>
      <c r="HI17" s="15"/>
      <c r="HJ17" s="15"/>
      <c r="HK17" s="15"/>
      <c r="HL17" s="15"/>
      <c r="HM17" s="15"/>
      <c r="HN17" s="15"/>
      <c r="HO17" s="15"/>
      <c r="HP17" s="15"/>
    </row>
    <row r="18" spans="1:224" s="23" customFormat="1" ht="15" customHeight="1" x14ac:dyDescent="0.25">
      <c r="A18" s="10">
        <f t="shared" si="1"/>
        <v>17</v>
      </c>
      <c r="B18" s="10" t="s">
        <v>499</v>
      </c>
      <c r="C18" s="12"/>
      <c r="D18" s="11"/>
      <c r="E18" s="11"/>
      <c r="F18" s="42"/>
      <c r="G18" s="20"/>
      <c r="H18" s="11"/>
      <c r="I18" s="11"/>
      <c r="J18" s="19"/>
      <c r="K18" s="21"/>
      <c r="L18" s="12"/>
      <c r="M18" s="20"/>
      <c r="N18" s="42"/>
      <c r="O18" s="20"/>
      <c r="P18" s="20"/>
      <c r="Q18" s="11"/>
      <c r="R18" s="12"/>
      <c r="S18" s="20"/>
      <c r="T18" s="19"/>
      <c r="U18" s="20"/>
      <c r="V18" s="21"/>
      <c r="W18" s="12"/>
      <c r="X18" s="11"/>
      <c r="Y18" s="11"/>
      <c r="Z18" s="11"/>
      <c r="AA18" s="12"/>
      <c r="AB18" s="11"/>
      <c r="AC18" s="21"/>
      <c r="AD18" s="11"/>
      <c r="AE18" s="11"/>
      <c r="AF18" s="12"/>
      <c r="AG18" s="19"/>
      <c r="AH18" s="42"/>
      <c r="AI18" s="11"/>
      <c r="AJ18" s="21"/>
      <c r="AK18" s="11"/>
      <c r="AL18" s="11"/>
      <c r="AM18" s="12"/>
      <c r="AN18" s="11"/>
      <c r="AO18" s="11"/>
      <c r="AP18" s="12"/>
      <c r="AQ18" s="11"/>
      <c r="AR18" s="11"/>
      <c r="AS18" s="11"/>
      <c r="AT18" s="19"/>
      <c r="AU18" s="12"/>
      <c r="AV18" s="19"/>
      <c r="AW18" s="11"/>
      <c r="AX18" s="11"/>
      <c r="AY18" s="11"/>
      <c r="AZ18" s="11"/>
      <c r="BA18" s="11"/>
      <c r="BB18" s="21"/>
      <c r="BC18" s="11"/>
      <c r="BD18" s="11"/>
      <c r="BE18" s="11"/>
      <c r="BF18" s="11"/>
      <c r="BG18" s="11"/>
      <c r="BH18" s="12"/>
      <c r="BI18" s="12"/>
      <c r="BJ18" s="11"/>
      <c r="BK18" s="11"/>
      <c r="BL18" s="12"/>
      <c r="BM18" s="12"/>
      <c r="BN18" s="11"/>
      <c r="BO18" s="11"/>
      <c r="BP18" s="12"/>
      <c r="BQ18" s="12"/>
      <c r="BR18" s="12"/>
      <c r="BS18" s="11"/>
      <c r="BT18" s="19"/>
      <c r="BU18" s="12"/>
      <c r="BV18" s="12"/>
      <c r="BW18" s="15"/>
      <c r="BX18" s="15"/>
      <c r="BY18" s="15"/>
      <c r="BZ18" s="15"/>
      <c r="CA18" s="15"/>
      <c r="CB18" s="15"/>
      <c r="CC18" s="15"/>
      <c r="CD18" s="15"/>
      <c r="CE18" s="15"/>
      <c r="CF18" s="15"/>
      <c r="CG18" s="15"/>
      <c r="CH18" s="15"/>
      <c r="CI18" s="15"/>
      <c r="CJ18" s="15"/>
      <c r="CK18" s="15"/>
      <c r="CL18" s="15"/>
      <c r="CM18" s="15"/>
      <c r="CN18" s="15"/>
      <c r="CO18" s="15"/>
      <c r="CP18" s="15"/>
      <c r="CQ18" s="15"/>
      <c r="CR18" s="15"/>
      <c r="CS18" s="15"/>
      <c r="CT18" s="15"/>
      <c r="CU18" s="15"/>
      <c r="CV18" s="15"/>
      <c r="CW18" s="15"/>
      <c r="CX18" s="15"/>
      <c r="CY18" s="15"/>
      <c r="CZ18" s="15"/>
      <c r="DA18" s="15"/>
      <c r="DB18" s="15"/>
      <c r="DC18" s="15"/>
      <c r="DD18" s="15"/>
      <c r="DE18" s="15"/>
      <c r="DF18" s="15"/>
      <c r="DG18" s="15"/>
      <c r="DH18" s="15"/>
      <c r="DI18" s="15"/>
      <c r="DJ18" s="15"/>
      <c r="DK18" s="15"/>
      <c r="DL18" s="15"/>
      <c r="DM18" s="15"/>
      <c r="DN18" s="15"/>
      <c r="DO18" s="15"/>
      <c r="DP18" s="15"/>
      <c r="DQ18" s="15"/>
      <c r="DR18" s="15"/>
      <c r="DS18" s="15"/>
      <c r="DT18" s="15"/>
      <c r="DU18" s="15"/>
      <c r="DV18" s="15"/>
      <c r="DW18" s="15"/>
      <c r="DX18" s="15"/>
      <c r="DY18" s="15"/>
      <c r="DZ18" s="15"/>
      <c r="EA18" s="15"/>
      <c r="EB18" s="15"/>
      <c r="EC18" s="15"/>
      <c r="ED18" s="15"/>
      <c r="EE18" s="15"/>
      <c r="EF18" s="15"/>
      <c r="EG18" s="15"/>
      <c r="EH18" s="15"/>
      <c r="EI18" s="15"/>
      <c r="EJ18" s="15"/>
      <c r="EK18" s="15"/>
      <c r="EL18" s="15"/>
      <c r="EM18" s="15"/>
      <c r="EN18" s="15"/>
      <c r="EO18" s="15"/>
      <c r="EP18" s="15"/>
      <c r="EQ18" s="15"/>
      <c r="ER18" s="15"/>
      <c r="ES18" s="15"/>
      <c r="ET18" s="15"/>
      <c r="EU18" s="15"/>
      <c r="EV18" s="15"/>
      <c r="EW18" s="15"/>
      <c r="EX18" s="15"/>
      <c r="EY18" s="15"/>
      <c r="EZ18" s="15"/>
      <c r="FA18" s="15"/>
      <c r="FB18" s="15"/>
      <c r="FC18" s="15"/>
      <c r="FD18" s="15"/>
      <c r="FE18" s="15"/>
      <c r="FF18" s="15"/>
      <c r="FG18" s="15"/>
      <c r="FH18" s="15"/>
      <c r="FI18" s="15"/>
      <c r="FJ18" s="15"/>
      <c r="FK18" s="15"/>
      <c r="FL18" s="15"/>
      <c r="FM18" s="15"/>
      <c r="FN18" s="15"/>
      <c r="FO18" s="15"/>
      <c r="FP18" s="15"/>
      <c r="FQ18" s="15"/>
      <c r="FR18" s="15"/>
      <c r="FS18" s="15"/>
      <c r="FT18" s="15"/>
      <c r="FU18" s="15"/>
      <c r="FV18" s="15"/>
      <c r="FW18" s="15"/>
      <c r="FX18" s="15"/>
      <c r="FY18" s="15"/>
      <c r="FZ18" s="15"/>
      <c r="GA18" s="15"/>
      <c r="GB18" s="15"/>
      <c r="GC18" s="15"/>
      <c r="GD18" s="15"/>
      <c r="GE18" s="15"/>
      <c r="GF18" s="15"/>
      <c r="GG18" s="15"/>
      <c r="GH18" s="15"/>
      <c r="GI18" s="15"/>
      <c r="GJ18" s="15"/>
      <c r="GK18" s="15"/>
      <c r="GL18" s="15"/>
      <c r="GM18" s="15"/>
      <c r="GN18" s="15"/>
      <c r="GO18" s="15"/>
      <c r="GP18" s="15"/>
      <c r="GQ18" s="15"/>
      <c r="GR18" s="15"/>
      <c r="GS18" s="15"/>
      <c r="GT18" s="15"/>
      <c r="GU18" s="15"/>
      <c r="GV18" s="15"/>
      <c r="GW18" s="15"/>
      <c r="GX18" s="15"/>
      <c r="GY18" s="15"/>
      <c r="GZ18" s="15"/>
      <c r="HA18" s="15"/>
      <c r="HB18" s="15"/>
      <c r="HC18" s="15"/>
      <c r="HD18" s="15"/>
      <c r="HE18" s="15"/>
      <c r="HF18" s="15"/>
      <c r="HG18" s="15"/>
      <c r="HH18" s="15"/>
      <c r="HI18" s="15"/>
      <c r="HJ18" s="15"/>
      <c r="HK18" s="15"/>
      <c r="HL18" s="15"/>
      <c r="HM18" s="15"/>
      <c r="HN18" s="15"/>
      <c r="HO18" s="15"/>
      <c r="HP18" s="15"/>
    </row>
    <row r="19" spans="1:224" s="23" customFormat="1" ht="15" customHeight="1" x14ac:dyDescent="0.25">
      <c r="A19" s="10">
        <f t="shared" si="1"/>
        <v>18</v>
      </c>
      <c r="B19" s="10" t="s">
        <v>500</v>
      </c>
      <c r="C19" s="12"/>
      <c r="D19" s="11"/>
      <c r="E19" s="21"/>
      <c r="F19" s="20"/>
      <c r="G19" s="42"/>
      <c r="H19" s="11"/>
      <c r="I19" s="21"/>
      <c r="J19" s="19"/>
      <c r="K19" s="21"/>
      <c r="L19" s="19"/>
      <c r="M19" s="20"/>
      <c r="N19" s="20"/>
      <c r="O19" s="20"/>
      <c r="P19" s="42"/>
      <c r="Q19" s="11"/>
      <c r="R19" s="19"/>
      <c r="S19" s="20"/>
      <c r="T19" s="19"/>
      <c r="U19" s="20"/>
      <c r="V19" s="11"/>
      <c r="W19" s="12"/>
      <c r="X19" s="11"/>
      <c r="Y19" s="11"/>
      <c r="Z19" s="11"/>
      <c r="AA19" s="19"/>
      <c r="AB19" s="21"/>
      <c r="AC19" s="21"/>
      <c r="AD19" s="21"/>
      <c r="AE19" s="21"/>
      <c r="AF19" s="19"/>
      <c r="AG19" s="12"/>
      <c r="AH19" s="20"/>
      <c r="AI19" s="11"/>
      <c r="AJ19" s="11"/>
      <c r="AK19" s="21"/>
      <c r="AL19" s="21"/>
      <c r="AM19" s="19"/>
      <c r="AN19" s="21"/>
      <c r="AO19" s="11"/>
      <c r="AP19" s="19"/>
      <c r="AQ19" s="11"/>
      <c r="AR19" s="21"/>
      <c r="AS19" s="21"/>
      <c r="AT19" s="12"/>
      <c r="AU19" s="12"/>
      <c r="AV19" s="19"/>
      <c r="AW19" s="21"/>
      <c r="AX19" s="11"/>
      <c r="AY19" s="21"/>
      <c r="AZ19" s="11"/>
      <c r="BA19" s="11"/>
      <c r="BB19" s="21"/>
      <c r="BC19" s="11"/>
      <c r="BD19" s="11"/>
      <c r="BE19" s="21"/>
      <c r="BF19" s="21"/>
      <c r="BG19" s="11"/>
      <c r="BH19" s="19"/>
      <c r="BI19" s="12"/>
      <c r="BJ19" s="21"/>
      <c r="BK19" s="21"/>
      <c r="BL19" s="19"/>
      <c r="BM19" s="19"/>
      <c r="BN19" s="11"/>
      <c r="BO19" s="21"/>
      <c r="BP19" s="19"/>
      <c r="BQ19" s="19"/>
      <c r="BR19" s="12"/>
      <c r="BS19" s="11"/>
      <c r="BT19" s="19"/>
      <c r="BU19" s="12"/>
      <c r="BV19" s="12"/>
      <c r="BW19" s="15"/>
      <c r="BX19" s="15"/>
      <c r="BY19" s="15"/>
      <c r="BZ19" s="15"/>
      <c r="CA19" s="15"/>
      <c r="CB19" s="15"/>
      <c r="CC19" s="15"/>
      <c r="CD19" s="15"/>
      <c r="CE19" s="15"/>
      <c r="CF19" s="15"/>
      <c r="CG19" s="15"/>
      <c r="CH19" s="15"/>
      <c r="CI19" s="15"/>
      <c r="CJ19" s="15"/>
      <c r="CK19" s="15"/>
      <c r="CL19" s="15"/>
      <c r="CM19" s="15"/>
      <c r="CN19" s="15"/>
      <c r="CO19" s="15"/>
      <c r="CP19" s="15"/>
      <c r="CQ19" s="15"/>
      <c r="CR19" s="15"/>
      <c r="CS19" s="15"/>
      <c r="CT19" s="15"/>
      <c r="CU19" s="15"/>
      <c r="CV19" s="15"/>
      <c r="CW19" s="15"/>
      <c r="CX19" s="15"/>
      <c r="CY19" s="15"/>
      <c r="CZ19" s="15"/>
      <c r="DA19" s="15"/>
      <c r="DB19" s="15"/>
      <c r="DC19" s="15"/>
      <c r="DD19" s="15"/>
      <c r="DE19" s="15"/>
      <c r="DF19" s="15"/>
      <c r="DG19" s="15"/>
      <c r="DH19" s="15"/>
      <c r="DI19" s="15"/>
      <c r="DJ19" s="15"/>
      <c r="DK19" s="15"/>
      <c r="DL19" s="15"/>
      <c r="DM19" s="15"/>
      <c r="DN19" s="15"/>
      <c r="DO19" s="15"/>
      <c r="DP19" s="15"/>
      <c r="DQ19" s="15"/>
      <c r="DR19" s="15"/>
      <c r="DS19" s="15"/>
      <c r="DT19" s="15"/>
      <c r="DU19" s="15"/>
      <c r="DV19" s="15"/>
      <c r="DW19" s="15"/>
      <c r="DX19" s="15"/>
      <c r="DY19" s="15"/>
      <c r="DZ19" s="15"/>
      <c r="EA19" s="15"/>
      <c r="EB19" s="15"/>
      <c r="EC19" s="15"/>
      <c r="ED19" s="15"/>
      <c r="EE19" s="15"/>
      <c r="EF19" s="15"/>
      <c r="EG19" s="15"/>
      <c r="EH19" s="15"/>
      <c r="EI19" s="15"/>
      <c r="EJ19" s="15"/>
      <c r="EK19" s="15"/>
      <c r="EL19" s="15"/>
      <c r="EM19" s="15"/>
      <c r="EN19" s="15"/>
      <c r="EO19" s="15"/>
      <c r="EP19" s="15"/>
      <c r="EQ19" s="15"/>
      <c r="ER19" s="15"/>
      <c r="ES19" s="15"/>
      <c r="ET19" s="15"/>
      <c r="EU19" s="15"/>
      <c r="EV19" s="15"/>
      <c r="EW19" s="15"/>
      <c r="EX19" s="15"/>
      <c r="EY19" s="15"/>
      <c r="EZ19" s="15"/>
      <c r="FA19" s="15"/>
      <c r="FB19" s="15"/>
      <c r="FC19" s="15"/>
      <c r="FD19" s="15"/>
      <c r="FE19" s="15"/>
      <c r="FF19" s="15"/>
      <c r="FG19" s="15"/>
      <c r="FH19" s="15"/>
      <c r="FI19" s="15"/>
      <c r="FJ19" s="15"/>
      <c r="FK19" s="15"/>
      <c r="FL19" s="15"/>
      <c r="FM19" s="15"/>
      <c r="FN19" s="15"/>
      <c r="FO19" s="15"/>
      <c r="FP19" s="15"/>
      <c r="FQ19" s="15"/>
      <c r="FR19" s="15"/>
      <c r="FS19" s="15"/>
      <c r="FT19" s="15"/>
      <c r="FU19" s="15"/>
      <c r="FV19" s="15"/>
      <c r="FW19" s="15"/>
      <c r="FX19" s="15"/>
      <c r="FY19" s="15"/>
      <c r="FZ19" s="15"/>
      <c r="GA19" s="15"/>
      <c r="GB19" s="15"/>
      <c r="GC19" s="15"/>
      <c r="GD19" s="15"/>
      <c r="GE19" s="15"/>
      <c r="GF19" s="15"/>
      <c r="GG19" s="15"/>
      <c r="GH19" s="15"/>
      <c r="GI19" s="15"/>
      <c r="GJ19" s="15"/>
      <c r="GK19" s="15"/>
      <c r="GL19" s="15"/>
      <c r="GM19" s="15"/>
      <c r="GN19" s="15"/>
      <c r="GO19" s="15"/>
      <c r="GP19" s="15"/>
      <c r="GQ19" s="15"/>
      <c r="GR19" s="15"/>
      <c r="GS19" s="15"/>
      <c r="GT19" s="15"/>
      <c r="GU19" s="15"/>
      <c r="GV19" s="15"/>
      <c r="GW19" s="15"/>
      <c r="GX19" s="15"/>
      <c r="GY19" s="15"/>
      <c r="GZ19" s="15"/>
      <c r="HA19" s="15"/>
      <c r="HB19" s="15"/>
      <c r="HC19" s="15"/>
      <c r="HD19" s="15"/>
      <c r="HE19" s="15"/>
      <c r="HF19" s="15"/>
      <c r="HG19" s="15"/>
      <c r="HH19" s="15"/>
      <c r="HI19" s="15"/>
      <c r="HJ19" s="15"/>
      <c r="HK19" s="15"/>
      <c r="HL19" s="15"/>
      <c r="HM19" s="15"/>
      <c r="HN19" s="15"/>
      <c r="HO19" s="15"/>
      <c r="HP19" s="15"/>
    </row>
    <row r="20" spans="1:224" s="23" customFormat="1" ht="15" customHeight="1" x14ac:dyDescent="0.25">
      <c r="A20" s="10">
        <f t="shared" si="1"/>
        <v>19</v>
      </c>
      <c r="B20" s="10" t="s">
        <v>501</v>
      </c>
      <c r="C20" s="19"/>
      <c r="D20" s="21"/>
      <c r="E20" s="21"/>
      <c r="F20" s="42"/>
      <c r="G20" s="42"/>
      <c r="H20" s="21"/>
      <c r="I20" s="21"/>
      <c r="J20" s="19"/>
      <c r="K20" s="21"/>
      <c r="L20" s="19"/>
      <c r="M20" s="42"/>
      <c r="N20" s="42"/>
      <c r="O20" s="42"/>
      <c r="P20" s="42"/>
      <c r="Q20" s="11"/>
      <c r="R20" s="12"/>
      <c r="S20" s="20"/>
      <c r="T20" s="12"/>
      <c r="U20" s="42"/>
      <c r="V20" s="11"/>
      <c r="W20" s="12"/>
      <c r="X20" s="11"/>
      <c r="Y20" s="21"/>
      <c r="Z20" s="11"/>
      <c r="AA20" s="12"/>
      <c r="AB20" s="11"/>
      <c r="AC20" s="21"/>
      <c r="AD20" s="21"/>
      <c r="AE20" s="11"/>
      <c r="AF20" s="19"/>
      <c r="AG20" s="19"/>
      <c r="AH20" s="20"/>
      <c r="AI20" s="11"/>
      <c r="AJ20" s="21"/>
      <c r="AK20" s="11"/>
      <c r="AL20" s="11"/>
      <c r="AM20" s="12"/>
      <c r="AN20" s="11"/>
      <c r="AO20" s="11"/>
      <c r="AP20" s="12"/>
      <c r="AQ20" s="11"/>
      <c r="AR20" s="11"/>
      <c r="AS20" s="11"/>
      <c r="AT20" s="12"/>
      <c r="AU20" s="12"/>
      <c r="AV20" s="19"/>
      <c r="AW20" s="11"/>
      <c r="AX20" s="11"/>
      <c r="AY20" s="11"/>
      <c r="AZ20" s="11"/>
      <c r="BA20" s="11"/>
      <c r="BB20" s="21"/>
      <c r="BC20" s="11"/>
      <c r="BD20" s="11"/>
      <c r="BE20" s="11"/>
      <c r="BF20" s="11"/>
      <c r="BG20" s="11"/>
      <c r="BH20" s="12"/>
      <c r="BI20" s="12"/>
      <c r="BJ20" s="11"/>
      <c r="BK20" s="11"/>
      <c r="BL20" s="19"/>
      <c r="BM20" s="12"/>
      <c r="BN20" s="11"/>
      <c r="BO20" s="11"/>
      <c r="BP20" s="19"/>
      <c r="BQ20" s="19"/>
      <c r="BR20" s="19"/>
      <c r="BS20" s="11"/>
      <c r="BT20" s="12"/>
      <c r="BU20" s="12"/>
      <c r="BV20" s="19"/>
      <c r="BW20" s="15"/>
      <c r="BX20" s="15"/>
      <c r="BY20" s="15"/>
      <c r="BZ20" s="15"/>
      <c r="CA20" s="15"/>
      <c r="CB20" s="15"/>
      <c r="CC20" s="15"/>
      <c r="CD20" s="15"/>
      <c r="CE20" s="15"/>
      <c r="CF20" s="15"/>
      <c r="CG20" s="15"/>
      <c r="CH20" s="15"/>
      <c r="CI20" s="15"/>
      <c r="CJ20" s="15"/>
      <c r="CK20" s="15"/>
      <c r="CL20" s="15"/>
      <c r="CM20" s="15"/>
      <c r="CN20" s="15"/>
      <c r="CO20" s="15"/>
      <c r="CP20" s="15"/>
      <c r="CQ20" s="15"/>
      <c r="CR20" s="15"/>
      <c r="CS20" s="15"/>
      <c r="CT20" s="15"/>
      <c r="CU20" s="15"/>
      <c r="CV20" s="15"/>
      <c r="CW20" s="15"/>
      <c r="CX20" s="15"/>
      <c r="CY20" s="15"/>
      <c r="CZ20" s="15"/>
      <c r="DA20" s="15"/>
      <c r="DB20" s="15"/>
      <c r="DC20" s="15"/>
      <c r="DD20" s="15"/>
      <c r="DE20" s="15"/>
      <c r="DF20" s="15"/>
      <c r="DG20" s="15"/>
      <c r="DH20" s="15"/>
      <c r="DI20" s="15"/>
      <c r="DJ20" s="15"/>
      <c r="DK20" s="15"/>
      <c r="DL20" s="15"/>
      <c r="DM20" s="15"/>
      <c r="DN20" s="15"/>
      <c r="DO20" s="15"/>
      <c r="DP20" s="15"/>
      <c r="DQ20" s="15"/>
      <c r="DR20" s="15"/>
      <c r="DS20" s="15"/>
      <c r="DT20" s="15"/>
      <c r="DU20" s="15"/>
      <c r="DV20" s="15"/>
      <c r="DW20" s="15"/>
      <c r="DX20" s="15"/>
      <c r="DY20" s="15"/>
      <c r="DZ20" s="15"/>
      <c r="EA20" s="15"/>
      <c r="EB20" s="15"/>
      <c r="EC20" s="15"/>
      <c r="ED20" s="15"/>
      <c r="EE20" s="15"/>
      <c r="EF20" s="15"/>
      <c r="EG20" s="15"/>
      <c r="EH20" s="15"/>
      <c r="EI20" s="15"/>
      <c r="EJ20" s="15"/>
      <c r="EK20" s="15"/>
      <c r="EL20" s="15"/>
      <c r="EM20" s="15"/>
      <c r="EN20" s="15"/>
      <c r="EO20" s="15"/>
      <c r="EP20" s="15"/>
      <c r="EQ20" s="15"/>
      <c r="ER20" s="15"/>
      <c r="ES20" s="15"/>
      <c r="ET20" s="15"/>
      <c r="EU20" s="15"/>
      <c r="EV20" s="15"/>
      <c r="EW20" s="15"/>
      <c r="EX20" s="15"/>
      <c r="EY20" s="15"/>
      <c r="EZ20" s="15"/>
      <c r="FA20" s="15"/>
      <c r="FB20" s="15"/>
      <c r="FC20" s="15"/>
      <c r="FD20" s="15"/>
      <c r="FE20" s="15"/>
      <c r="FF20" s="15"/>
      <c r="FG20" s="15"/>
      <c r="FH20" s="15"/>
      <c r="FI20" s="15"/>
      <c r="FJ20" s="15"/>
      <c r="FK20" s="15"/>
      <c r="FL20" s="15"/>
      <c r="FM20" s="15"/>
      <c r="FN20" s="15"/>
      <c r="FO20" s="15"/>
      <c r="FP20" s="15"/>
      <c r="FQ20" s="15"/>
      <c r="FR20" s="15"/>
      <c r="FS20" s="15"/>
      <c r="FT20" s="15"/>
      <c r="FU20" s="15"/>
      <c r="FV20" s="15"/>
      <c r="FW20" s="15"/>
      <c r="FX20" s="15"/>
      <c r="FY20" s="15"/>
      <c r="FZ20" s="15"/>
      <c r="GA20" s="15"/>
      <c r="GB20" s="15"/>
      <c r="GC20" s="15"/>
      <c r="GD20" s="15"/>
      <c r="GE20" s="15"/>
      <c r="GF20" s="15"/>
      <c r="GG20" s="15"/>
      <c r="GH20" s="15"/>
      <c r="GI20" s="15"/>
      <c r="GJ20" s="15"/>
      <c r="GK20" s="15"/>
      <c r="GL20" s="15"/>
      <c r="GM20" s="15"/>
      <c r="GN20" s="15"/>
      <c r="GO20" s="15"/>
      <c r="GP20" s="15"/>
      <c r="GQ20" s="15"/>
      <c r="GR20" s="15"/>
      <c r="GS20" s="15"/>
      <c r="GT20" s="15"/>
      <c r="GU20" s="15"/>
      <c r="GV20" s="15"/>
      <c r="GW20" s="15"/>
      <c r="GX20" s="15"/>
      <c r="GY20" s="15"/>
      <c r="GZ20" s="15"/>
      <c r="HA20" s="15"/>
      <c r="HB20" s="15"/>
      <c r="HC20" s="15"/>
      <c r="HD20" s="15"/>
      <c r="HE20" s="15"/>
      <c r="HF20" s="15"/>
      <c r="HG20" s="15"/>
      <c r="HH20" s="15"/>
      <c r="HI20" s="15"/>
      <c r="HJ20" s="15"/>
      <c r="HK20" s="15"/>
      <c r="HL20" s="15"/>
      <c r="HM20" s="15"/>
      <c r="HN20" s="15"/>
      <c r="HO20" s="15"/>
      <c r="HP20" s="15"/>
    </row>
    <row r="21" spans="1:224" s="23" customFormat="1" ht="15" customHeight="1" x14ac:dyDescent="0.25">
      <c r="A21" s="10">
        <f t="shared" si="1"/>
        <v>20</v>
      </c>
      <c r="B21" s="10" t="s">
        <v>502</v>
      </c>
      <c r="C21" s="19"/>
      <c r="D21" s="21"/>
      <c r="E21" s="11"/>
      <c r="F21" s="20"/>
      <c r="G21" s="20"/>
      <c r="H21" s="11"/>
      <c r="I21" s="21"/>
      <c r="J21" s="19"/>
      <c r="K21" s="11"/>
      <c r="L21" s="12"/>
      <c r="M21" s="20"/>
      <c r="N21" s="20"/>
      <c r="O21" s="42"/>
      <c r="P21" s="20"/>
      <c r="Q21" s="21"/>
      <c r="R21" s="19"/>
      <c r="S21" s="42"/>
      <c r="T21" s="19"/>
      <c r="U21" s="20"/>
      <c r="V21" s="21"/>
      <c r="W21" s="19"/>
      <c r="X21" s="21"/>
      <c r="Y21" s="11"/>
      <c r="Z21" s="21"/>
      <c r="AA21" s="19"/>
      <c r="AB21" s="11"/>
      <c r="AC21" s="21"/>
      <c r="AD21" s="11"/>
      <c r="AE21" s="21"/>
      <c r="AF21" s="19"/>
      <c r="AG21" s="19"/>
      <c r="AH21" s="20"/>
      <c r="AI21" s="11"/>
      <c r="AJ21" s="21"/>
      <c r="AK21" s="21"/>
      <c r="AL21" s="11"/>
      <c r="AM21" s="12"/>
      <c r="AN21" s="21"/>
      <c r="AO21" s="11"/>
      <c r="AP21" s="19"/>
      <c r="AQ21" s="21"/>
      <c r="AR21" s="11"/>
      <c r="AS21" s="11"/>
      <c r="AT21" s="19"/>
      <c r="AU21" s="19"/>
      <c r="AV21" s="12"/>
      <c r="AW21" s="21"/>
      <c r="AX21" s="21"/>
      <c r="AY21" s="11"/>
      <c r="AZ21" s="21"/>
      <c r="BA21" s="11"/>
      <c r="BB21" s="21"/>
      <c r="BC21" s="21"/>
      <c r="BD21" s="21"/>
      <c r="BE21" s="11"/>
      <c r="BF21" s="11"/>
      <c r="BG21" s="21"/>
      <c r="BH21" s="19"/>
      <c r="BI21" s="12"/>
      <c r="BJ21" s="21"/>
      <c r="BK21" s="11"/>
      <c r="BL21" s="19"/>
      <c r="BM21" s="19"/>
      <c r="BN21" s="21"/>
      <c r="BO21" s="21"/>
      <c r="BP21" s="19"/>
      <c r="BQ21" s="19"/>
      <c r="BR21" s="19"/>
      <c r="BS21" s="21"/>
      <c r="BT21" s="19"/>
      <c r="BU21" s="19"/>
      <c r="BV21" s="19"/>
      <c r="BW21" s="15"/>
      <c r="BX21" s="15"/>
      <c r="BY21" s="15"/>
      <c r="BZ21" s="15"/>
      <c r="CA21" s="15"/>
      <c r="CB21" s="15"/>
      <c r="CC21" s="15"/>
      <c r="CD21" s="15"/>
      <c r="CE21" s="15"/>
      <c r="CF21" s="15"/>
      <c r="CG21" s="15"/>
      <c r="CH21" s="15"/>
      <c r="CI21" s="15"/>
      <c r="CJ21" s="15"/>
      <c r="CK21" s="15"/>
      <c r="CL21" s="15"/>
      <c r="CM21" s="15"/>
      <c r="CN21" s="15"/>
      <c r="CO21" s="15"/>
      <c r="CP21" s="15"/>
      <c r="CQ21" s="15"/>
      <c r="CR21" s="15"/>
      <c r="CS21" s="15"/>
      <c r="CT21" s="15"/>
      <c r="CU21" s="15"/>
      <c r="CV21" s="15"/>
      <c r="CW21" s="15"/>
      <c r="CX21" s="15"/>
      <c r="CY21" s="15"/>
      <c r="CZ21" s="15"/>
      <c r="DA21" s="15"/>
      <c r="DB21" s="15"/>
      <c r="DC21" s="15"/>
      <c r="DD21" s="15"/>
      <c r="DE21" s="15"/>
      <c r="DF21" s="15"/>
      <c r="DG21" s="15"/>
      <c r="DH21" s="15"/>
      <c r="DI21" s="15"/>
      <c r="DJ21" s="15"/>
      <c r="DK21" s="15"/>
      <c r="DL21" s="15"/>
      <c r="DM21" s="15"/>
      <c r="DN21" s="15"/>
      <c r="DO21" s="15"/>
      <c r="DP21" s="15"/>
      <c r="DQ21" s="15"/>
      <c r="DR21" s="15"/>
      <c r="DS21" s="15"/>
      <c r="DT21" s="15"/>
      <c r="DU21" s="15"/>
      <c r="DV21" s="15"/>
      <c r="DW21" s="15"/>
      <c r="DX21" s="15"/>
      <c r="DY21" s="15"/>
      <c r="DZ21" s="15"/>
      <c r="EA21" s="15"/>
      <c r="EB21" s="15"/>
      <c r="EC21" s="15"/>
      <c r="ED21" s="15"/>
      <c r="EE21" s="15"/>
      <c r="EF21" s="15"/>
      <c r="EG21" s="15"/>
      <c r="EH21" s="15"/>
      <c r="EI21" s="15"/>
      <c r="EJ21" s="15"/>
      <c r="EK21" s="15"/>
      <c r="EL21" s="15"/>
      <c r="EM21" s="15"/>
      <c r="EN21" s="15"/>
      <c r="EO21" s="15"/>
      <c r="EP21" s="15"/>
      <c r="EQ21" s="15"/>
      <c r="ER21" s="15"/>
      <c r="ES21" s="15"/>
      <c r="ET21" s="15"/>
      <c r="EU21" s="15"/>
      <c r="EV21" s="15"/>
      <c r="EW21" s="15"/>
      <c r="EX21" s="15"/>
      <c r="EY21" s="15"/>
      <c r="EZ21" s="15"/>
      <c r="FA21" s="15"/>
      <c r="FB21" s="15"/>
      <c r="FC21" s="15"/>
      <c r="FD21" s="15"/>
      <c r="FE21" s="15"/>
      <c r="FF21" s="15"/>
      <c r="FG21" s="15"/>
      <c r="FH21" s="15"/>
      <c r="FI21" s="15"/>
      <c r="FJ21" s="15"/>
      <c r="FK21" s="15"/>
      <c r="FL21" s="15"/>
      <c r="FM21" s="15"/>
      <c r="FN21" s="15"/>
      <c r="FO21" s="15"/>
      <c r="FP21" s="15"/>
      <c r="FQ21" s="15"/>
      <c r="FR21" s="15"/>
      <c r="FS21" s="15"/>
      <c r="FT21" s="15"/>
      <c r="FU21" s="15"/>
      <c r="FV21" s="15"/>
      <c r="FW21" s="15"/>
      <c r="FX21" s="15"/>
      <c r="FY21" s="15"/>
      <c r="FZ21" s="15"/>
      <c r="GA21" s="15"/>
      <c r="GB21" s="15"/>
      <c r="GC21" s="15"/>
      <c r="GD21" s="15"/>
      <c r="GE21" s="15"/>
      <c r="GF21" s="15"/>
      <c r="GG21" s="15"/>
      <c r="GH21" s="15"/>
      <c r="GI21" s="15"/>
      <c r="GJ21" s="15"/>
      <c r="GK21" s="15"/>
      <c r="GL21" s="15"/>
      <c r="GM21" s="15"/>
      <c r="GN21" s="15"/>
      <c r="GO21" s="15"/>
      <c r="GP21" s="15"/>
      <c r="GQ21" s="15"/>
      <c r="GR21" s="15"/>
      <c r="GS21" s="15"/>
      <c r="GT21" s="15"/>
      <c r="GU21" s="15"/>
      <c r="GV21" s="15"/>
      <c r="GW21" s="15"/>
      <c r="GX21" s="15"/>
      <c r="GY21" s="15"/>
      <c r="GZ21" s="15"/>
      <c r="HA21" s="15"/>
      <c r="HB21" s="15"/>
      <c r="HC21" s="15"/>
      <c r="HD21" s="15"/>
      <c r="HE21" s="15"/>
      <c r="HF21" s="15"/>
      <c r="HG21" s="15"/>
      <c r="HH21" s="15"/>
      <c r="HI21" s="15"/>
      <c r="HJ21" s="15"/>
      <c r="HK21" s="15"/>
      <c r="HL21" s="15"/>
      <c r="HM21" s="15"/>
      <c r="HN21" s="15"/>
      <c r="HO21" s="15"/>
      <c r="HP21" s="15"/>
    </row>
    <row r="22" spans="1:224" s="23" customFormat="1" ht="15" customHeight="1" x14ac:dyDescent="0.25">
      <c r="A22" s="10">
        <f t="shared" si="1"/>
        <v>21</v>
      </c>
      <c r="B22" s="10" t="s">
        <v>503</v>
      </c>
      <c r="C22" s="12"/>
      <c r="D22" s="11"/>
      <c r="E22" s="11"/>
      <c r="F22" s="20"/>
      <c r="G22" s="20"/>
      <c r="H22" s="11"/>
      <c r="I22" s="11"/>
      <c r="J22" s="19"/>
      <c r="K22" s="21"/>
      <c r="L22" s="19"/>
      <c r="M22" s="20"/>
      <c r="N22" s="20"/>
      <c r="O22" s="42"/>
      <c r="P22" s="42"/>
      <c r="Q22" s="11"/>
      <c r="R22" s="12"/>
      <c r="S22" s="42"/>
      <c r="T22" s="12"/>
      <c r="U22" s="20"/>
      <c r="V22" s="11"/>
      <c r="W22" s="19"/>
      <c r="X22" s="21"/>
      <c r="Y22" s="11"/>
      <c r="Z22" s="21"/>
      <c r="AA22" s="19"/>
      <c r="AB22" s="11"/>
      <c r="AC22" s="11"/>
      <c r="AD22" s="11"/>
      <c r="AE22" s="11"/>
      <c r="AF22" s="12"/>
      <c r="AG22" s="12"/>
      <c r="AH22" s="20"/>
      <c r="AI22" s="11"/>
      <c r="AJ22" s="21"/>
      <c r="AK22" s="21"/>
      <c r="AL22" s="11"/>
      <c r="AM22" s="12"/>
      <c r="AN22" s="11"/>
      <c r="AO22" s="21"/>
      <c r="AP22" s="19"/>
      <c r="AQ22" s="21"/>
      <c r="AR22" s="11"/>
      <c r="AS22" s="21"/>
      <c r="AT22" s="19"/>
      <c r="AU22" s="12"/>
      <c r="AV22" s="19"/>
      <c r="AW22" s="21"/>
      <c r="AX22" s="11"/>
      <c r="AY22" s="11"/>
      <c r="AZ22" s="11"/>
      <c r="BA22" s="21"/>
      <c r="BB22" s="21"/>
      <c r="BC22" s="11"/>
      <c r="BD22" s="21"/>
      <c r="BE22" s="11"/>
      <c r="BF22" s="21"/>
      <c r="BG22" s="11"/>
      <c r="BH22" s="12"/>
      <c r="BI22" s="12"/>
      <c r="BJ22" s="11"/>
      <c r="BK22" s="11"/>
      <c r="BL22" s="19"/>
      <c r="BM22" s="19"/>
      <c r="BN22" s="11"/>
      <c r="BO22" s="11"/>
      <c r="BP22" s="12"/>
      <c r="BQ22" s="19"/>
      <c r="BR22" s="12"/>
      <c r="BS22" s="21"/>
      <c r="BT22" s="19"/>
      <c r="BU22" s="12"/>
      <c r="BV22" s="19"/>
      <c r="BW22" s="15"/>
      <c r="BX22" s="15"/>
      <c r="BY22" s="15"/>
      <c r="BZ22" s="15"/>
      <c r="CA22" s="15"/>
      <c r="CB22" s="15"/>
      <c r="CC22" s="15"/>
      <c r="CD22" s="15"/>
      <c r="CE22" s="15"/>
      <c r="CF22" s="15"/>
      <c r="CG22" s="15"/>
      <c r="CH22" s="15"/>
      <c r="CI22" s="15"/>
      <c r="CJ22" s="15"/>
      <c r="CK22" s="15"/>
      <c r="CL22" s="15"/>
      <c r="CM22" s="15"/>
      <c r="CN22" s="15"/>
      <c r="CO22" s="15"/>
      <c r="CP22" s="15"/>
      <c r="CQ22" s="15"/>
      <c r="CR22" s="15"/>
      <c r="CS22" s="15"/>
      <c r="CT22" s="15"/>
      <c r="CU22" s="15"/>
      <c r="CV22" s="15"/>
      <c r="CW22" s="15"/>
      <c r="CX22" s="15"/>
      <c r="CY22" s="15"/>
      <c r="CZ22" s="15"/>
      <c r="DA22" s="15"/>
      <c r="DB22" s="15"/>
      <c r="DC22" s="15"/>
      <c r="DD22" s="15"/>
      <c r="DE22" s="15"/>
      <c r="DF22" s="15"/>
      <c r="DG22" s="15"/>
      <c r="DH22" s="15"/>
      <c r="DI22" s="15"/>
      <c r="DJ22" s="15"/>
      <c r="DK22" s="15"/>
      <c r="DL22" s="15"/>
      <c r="DM22" s="15"/>
      <c r="DN22" s="15"/>
      <c r="DO22" s="15"/>
      <c r="DP22" s="15"/>
      <c r="DQ22" s="15"/>
      <c r="DR22" s="15"/>
      <c r="DS22" s="15"/>
      <c r="DT22" s="15"/>
      <c r="DU22" s="15"/>
      <c r="DV22" s="15"/>
      <c r="DW22" s="15"/>
      <c r="DX22" s="15"/>
      <c r="DY22" s="15"/>
      <c r="DZ22" s="15"/>
      <c r="EA22" s="15"/>
      <c r="EB22" s="15"/>
      <c r="EC22" s="15"/>
      <c r="ED22" s="15"/>
      <c r="EE22" s="15"/>
      <c r="EF22" s="15"/>
      <c r="EG22" s="15"/>
      <c r="EH22" s="15"/>
      <c r="EI22" s="15"/>
      <c r="EJ22" s="15"/>
      <c r="EK22" s="15"/>
      <c r="EL22" s="15"/>
      <c r="EM22" s="15"/>
      <c r="EN22" s="15"/>
      <c r="EO22" s="15"/>
      <c r="EP22" s="15"/>
      <c r="EQ22" s="15"/>
      <c r="ER22" s="15"/>
      <c r="ES22" s="15"/>
      <c r="ET22" s="15"/>
      <c r="EU22" s="15"/>
      <c r="EV22" s="15"/>
      <c r="EW22" s="15"/>
      <c r="EX22" s="15"/>
      <c r="EY22" s="15"/>
      <c r="EZ22" s="15"/>
      <c r="FA22" s="15"/>
      <c r="FB22" s="15"/>
      <c r="FC22" s="15"/>
      <c r="FD22" s="15"/>
      <c r="FE22" s="15"/>
      <c r="FF22" s="15"/>
      <c r="FG22" s="15"/>
      <c r="FH22" s="15"/>
      <c r="FI22" s="15"/>
      <c r="FJ22" s="15"/>
      <c r="FK22" s="15"/>
      <c r="FL22" s="15"/>
      <c r="FM22" s="15"/>
      <c r="FN22" s="15"/>
      <c r="FO22" s="15"/>
      <c r="FP22" s="15"/>
      <c r="FQ22" s="15"/>
      <c r="FR22" s="15"/>
      <c r="FS22" s="15"/>
      <c r="FT22" s="15"/>
      <c r="FU22" s="15"/>
      <c r="FV22" s="15"/>
      <c r="FW22" s="15"/>
      <c r="FX22" s="15"/>
      <c r="FY22" s="15"/>
      <c r="FZ22" s="15"/>
      <c r="GA22" s="15"/>
      <c r="GB22" s="15"/>
      <c r="GC22" s="15"/>
      <c r="GD22" s="15"/>
      <c r="GE22" s="15"/>
      <c r="GF22" s="15"/>
      <c r="GG22" s="15"/>
      <c r="GH22" s="15"/>
      <c r="GI22" s="15"/>
      <c r="GJ22" s="15"/>
      <c r="GK22" s="15"/>
      <c r="GL22" s="15"/>
      <c r="GM22" s="15"/>
      <c r="GN22" s="15"/>
      <c r="GO22" s="15"/>
      <c r="GP22" s="15"/>
      <c r="GQ22" s="15"/>
      <c r="GR22" s="15"/>
      <c r="GS22" s="15"/>
      <c r="GT22" s="15"/>
      <c r="GU22" s="15"/>
      <c r="GV22" s="15"/>
      <c r="GW22" s="15"/>
      <c r="GX22" s="15"/>
      <c r="GY22" s="15"/>
      <c r="GZ22" s="15"/>
      <c r="HA22" s="15"/>
      <c r="HB22" s="15"/>
      <c r="HC22" s="15"/>
      <c r="HD22" s="15"/>
      <c r="HE22" s="15"/>
      <c r="HF22" s="15"/>
      <c r="HG22" s="15"/>
      <c r="HH22" s="15"/>
      <c r="HI22" s="15"/>
      <c r="HJ22" s="15"/>
      <c r="HK22" s="15"/>
      <c r="HL22" s="15"/>
      <c r="HM22" s="15"/>
      <c r="HN22" s="15"/>
      <c r="HO22" s="15"/>
      <c r="HP22" s="15"/>
    </row>
    <row r="23" spans="1:224" s="23" customFormat="1" ht="15" customHeight="1" x14ac:dyDescent="0.25">
      <c r="A23" s="10">
        <f t="shared" si="1"/>
        <v>22</v>
      </c>
      <c r="B23" s="10" t="s">
        <v>504</v>
      </c>
      <c r="C23" s="12"/>
      <c r="D23" s="21"/>
      <c r="E23" s="11"/>
      <c r="F23" s="42"/>
      <c r="G23" s="42"/>
      <c r="H23" s="11"/>
      <c r="I23" s="11"/>
      <c r="J23" s="19"/>
      <c r="K23" s="11"/>
      <c r="L23" s="12"/>
      <c r="M23" s="20"/>
      <c r="N23" s="42"/>
      <c r="O23" s="42"/>
      <c r="P23" s="42"/>
      <c r="Q23" s="11"/>
      <c r="R23" s="12"/>
      <c r="S23" s="42"/>
      <c r="T23" s="12"/>
      <c r="U23" s="20"/>
      <c r="V23" s="11"/>
      <c r="W23" s="12"/>
      <c r="X23" s="11"/>
      <c r="Y23" s="21"/>
      <c r="Z23" s="21"/>
      <c r="AA23" s="12"/>
      <c r="AB23" s="11"/>
      <c r="AC23" s="11"/>
      <c r="AD23" s="11"/>
      <c r="AE23" s="11"/>
      <c r="AF23" s="12"/>
      <c r="AG23" s="12"/>
      <c r="AH23" s="42"/>
      <c r="AI23" s="11"/>
      <c r="AJ23" s="11"/>
      <c r="AK23" s="11"/>
      <c r="AL23" s="21"/>
      <c r="AM23" s="12"/>
      <c r="AN23" s="11"/>
      <c r="AO23" s="11"/>
      <c r="AP23" s="19"/>
      <c r="AQ23" s="11"/>
      <c r="AR23" s="11"/>
      <c r="AS23" s="11"/>
      <c r="AT23" s="12"/>
      <c r="AU23" s="12"/>
      <c r="AV23" s="12"/>
      <c r="AW23" s="21"/>
      <c r="AX23" s="11"/>
      <c r="AY23" s="11"/>
      <c r="AZ23" s="11"/>
      <c r="BA23" s="11"/>
      <c r="BB23" s="21"/>
      <c r="BC23" s="11"/>
      <c r="BD23" s="11"/>
      <c r="BE23" s="21"/>
      <c r="BF23" s="11"/>
      <c r="BG23" s="21"/>
      <c r="BH23" s="12"/>
      <c r="BI23" s="19"/>
      <c r="BJ23" s="11"/>
      <c r="BK23" s="11"/>
      <c r="BL23" s="12"/>
      <c r="BM23" s="19"/>
      <c r="BN23" s="21"/>
      <c r="BO23" s="11"/>
      <c r="BP23" s="19"/>
      <c r="BQ23" s="19"/>
      <c r="BR23" s="19"/>
      <c r="BS23" s="11"/>
      <c r="BT23" s="12"/>
      <c r="BU23" s="12"/>
      <c r="BV23" s="19"/>
      <c r="BW23" s="15"/>
      <c r="BX23" s="15"/>
      <c r="BY23" s="15"/>
      <c r="BZ23" s="15"/>
      <c r="CA23" s="15"/>
      <c r="CB23" s="15"/>
      <c r="CC23" s="15"/>
      <c r="CD23" s="15"/>
      <c r="CE23" s="15"/>
      <c r="CF23" s="15"/>
      <c r="CG23" s="15"/>
      <c r="CH23" s="15"/>
      <c r="CI23" s="15"/>
      <c r="CJ23" s="15"/>
      <c r="CK23" s="15"/>
      <c r="CL23" s="15"/>
      <c r="CM23" s="15"/>
      <c r="CN23" s="15"/>
      <c r="CO23" s="15"/>
      <c r="CP23" s="15"/>
      <c r="CQ23" s="15"/>
      <c r="CR23" s="15"/>
      <c r="CS23" s="15"/>
      <c r="CT23" s="15"/>
      <c r="CU23" s="15"/>
      <c r="CV23" s="15"/>
      <c r="CW23" s="15"/>
      <c r="CX23" s="15"/>
      <c r="CY23" s="15"/>
      <c r="CZ23" s="15"/>
      <c r="DA23" s="15"/>
      <c r="DB23" s="15"/>
      <c r="DC23" s="15"/>
      <c r="DD23" s="15"/>
      <c r="DE23" s="15"/>
      <c r="DF23" s="15"/>
      <c r="DG23" s="15"/>
      <c r="DH23" s="15"/>
      <c r="DI23" s="15"/>
      <c r="DJ23" s="15"/>
      <c r="DK23" s="15"/>
      <c r="DL23" s="15"/>
      <c r="DM23" s="15"/>
      <c r="DN23" s="15"/>
      <c r="DO23" s="15"/>
      <c r="DP23" s="15"/>
      <c r="DQ23" s="15"/>
      <c r="DR23" s="15"/>
      <c r="DS23" s="15"/>
      <c r="DT23" s="15"/>
      <c r="DU23" s="15"/>
      <c r="DV23" s="15"/>
      <c r="DW23" s="15"/>
      <c r="DX23" s="15"/>
      <c r="DY23" s="15"/>
      <c r="DZ23" s="15"/>
      <c r="EA23" s="15"/>
      <c r="EB23" s="15"/>
      <c r="EC23" s="15"/>
      <c r="ED23" s="15"/>
      <c r="EE23" s="15"/>
      <c r="EF23" s="15"/>
      <c r="EG23" s="15"/>
      <c r="EH23" s="15"/>
      <c r="EI23" s="15"/>
      <c r="EJ23" s="15"/>
      <c r="EK23" s="15"/>
      <c r="EL23" s="15"/>
      <c r="EM23" s="15"/>
      <c r="EN23" s="15"/>
      <c r="EO23" s="15"/>
      <c r="EP23" s="15"/>
      <c r="EQ23" s="15"/>
      <c r="ER23" s="15"/>
      <c r="ES23" s="15"/>
      <c r="ET23" s="15"/>
      <c r="EU23" s="15"/>
      <c r="EV23" s="15"/>
      <c r="EW23" s="15"/>
      <c r="EX23" s="15"/>
      <c r="EY23" s="15"/>
      <c r="EZ23" s="15"/>
      <c r="FA23" s="15"/>
      <c r="FB23" s="15"/>
      <c r="FC23" s="15"/>
      <c r="FD23" s="15"/>
      <c r="FE23" s="15"/>
      <c r="FF23" s="15"/>
      <c r="FG23" s="15"/>
      <c r="FH23" s="15"/>
      <c r="FI23" s="15"/>
      <c r="FJ23" s="15"/>
      <c r="FK23" s="15"/>
      <c r="FL23" s="15"/>
      <c r="FM23" s="15"/>
      <c r="FN23" s="15"/>
      <c r="FO23" s="15"/>
      <c r="FP23" s="15"/>
      <c r="FQ23" s="15"/>
      <c r="FR23" s="15"/>
      <c r="FS23" s="15"/>
      <c r="FT23" s="15"/>
      <c r="FU23" s="15"/>
      <c r="FV23" s="15"/>
      <c r="FW23" s="15"/>
      <c r="FX23" s="15"/>
      <c r="FY23" s="15"/>
      <c r="FZ23" s="15"/>
      <c r="GA23" s="15"/>
      <c r="GB23" s="15"/>
      <c r="GC23" s="15"/>
      <c r="GD23" s="15"/>
      <c r="GE23" s="15"/>
      <c r="GF23" s="15"/>
      <c r="GG23" s="15"/>
      <c r="GH23" s="15"/>
      <c r="GI23" s="15"/>
      <c r="GJ23" s="15"/>
      <c r="GK23" s="15"/>
      <c r="GL23" s="15"/>
      <c r="GM23" s="15"/>
      <c r="GN23" s="15"/>
      <c r="GO23" s="15"/>
      <c r="GP23" s="15"/>
      <c r="GQ23" s="15"/>
      <c r="GR23" s="15"/>
      <c r="GS23" s="15"/>
      <c r="GT23" s="15"/>
      <c r="GU23" s="15"/>
      <c r="GV23" s="15"/>
      <c r="GW23" s="15"/>
      <c r="GX23" s="15"/>
      <c r="GY23" s="15"/>
      <c r="GZ23" s="15"/>
      <c r="HA23" s="15"/>
      <c r="HB23" s="15"/>
      <c r="HC23" s="15"/>
      <c r="HD23" s="15"/>
      <c r="HE23" s="15"/>
      <c r="HF23" s="15"/>
      <c r="HG23" s="15"/>
      <c r="HH23" s="15"/>
      <c r="HI23" s="15"/>
      <c r="HJ23" s="15"/>
      <c r="HK23" s="15"/>
      <c r="HL23" s="15"/>
      <c r="HM23" s="15"/>
      <c r="HN23" s="15"/>
      <c r="HO23" s="15"/>
      <c r="HP23" s="15"/>
    </row>
    <row r="24" spans="1:224" s="23" customFormat="1" ht="15" customHeight="1" x14ac:dyDescent="0.25">
      <c r="A24" s="10">
        <f t="shared" si="1"/>
        <v>23</v>
      </c>
      <c r="B24" s="10" t="s">
        <v>505</v>
      </c>
      <c r="C24" s="12"/>
      <c r="D24" s="11"/>
      <c r="E24" s="11"/>
      <c r="F24" s="42"/>
      <c r="G24" s="42"/>
      <c r="H24" s="11"/>
      <c r="I24" s="11"/>
      <c r="J24" s="12"/>
      <c r="K24" s="11"/>
      <c r="L24" s="12"/>
      <c r="M24" s="42"/>
      <c r="N24" s="42"/>
      <c r="O24" s="42"/>
      <c r="P24" s="42"/>
      <c r="Q24" s="11"/>
      <c r="R24" s="12"/>
      <c r="S24" s="42"/>
      <c r="T24" s="12"/>
      <c r="U24" s="42"/>
      <c r="V24" s="11"/>
      <c r="W24" s="12"/>
      <c r="X24" s="11"/>
      <c r="Y24" s="11"/>
      <c r="Z24" s="11"/>
      <c r="AA24" s="12"/>
      <c r="AB24" s="11"/>
      <c r="AC24" s="11"/>
      <c r="AD24" s="11"/>
      <c r="AE24" s="11"/>
      <c r="AF24" s="12"/>
      <c r="AG24" s="12"/>
      <c r="AH24" s="42"/>
      <c r="AI24" s="11"/>
      <c r="AJ24" s="11"/>
      <c r="AK24" s="11"/>
      <c r="AL24" s="11"/>
      <c r="AM24" s="12"/>
      <c r="AN24" s="11"/>
      <c r="AO24" s="11"/>
      <c r="AP24" s="12"/>
      <c r="AQ24" s="11"/>
      <c r="AR24" s="11"/>
      <c r="AS24" s="11"/>
      <c r="AT24" s="12"/>
      <c r="AU24" s="12"/>
      <c r="AV24" s="12"/>
      <c r="AW24" s="11"/>
      <c r="AX24" s="11"/>
      <c r="AY24" s="11"/>
      <c r="AZ24" s="11"/>
      <c r="BA24" s="11"/>
      <c r="BB24" s="11"/>
      <c r="BC24" s="11"/>
      <c r="BD24" s="11"/>
      <c r="BE24" s="11"/>
      <c r="BF24" s="11"/>
      <c r="BG24" s="11"/>
      <c r="BH24" s="12"/>
      <c r="BI24" s="12"/>
      <c r="BJ24" s="11"/>
      <c r="BK24" s="11"/>
      <c r="BL24" s="12"/>
      <c r="BM24" s="12"/>
      <c r="BN24" s="11"/>
      <c r="BO24" s="11"/>
      <c r="BP24" s="12"/>
      <c r="BQ24" s="12"/>
      <c r="BR24" s="12"/>
      <c r="BS24" s="11"/>
      <c r="BT24" s="12"/>
      <c r="BU24" s="12"/>
      <c r="BV24" s="12"/>
      <c r="BW24" s="15"/>
      <c r="BX24" s="15"/>
      <c r="BY24" s="15"/>
      <c r="BZ24" s="15"/>
      <c r="CA24" s="15"/>
      <c r="CB24" s="15"/>
      <c r="CC24" s="15"/>
      <c r="CD24" s="15"/>
      <c r="CE24" s="15"/>
      <c r="CF24" s="15"/>
      <c r="CG24" s="15"/>
      <c r="CH24" s="15"/>
      <c r="CI24" s="15"/>
      <c r="CJ24" s="15"/>
      <c r="CK24" s="15"/>
      <c r="CL24" s="15"/>
      <c r="CM24" s="15"/>
      <c r="CN24" s="15"/>
      <c r="CO24" s="15"/>
      <c r="CP24" s="15"/>
      <c r="CQ24" s="15"/>
      <c r="CR24" s="15"/>
      <c r="CS24" s="15"/>
      <c r="CT24" s="15"/>
      <c r="CU24" s="15"/>
      <c r="CV24" s="15"/>
      <c r="CW24" s="15"/>
      <c r="CX24" s="15"/>
      <c r="CY24" s="15"/>
      <c r="CZ24" s="15"/>
      <c r="DA24" s="15"/>
      <c r="DB24" s="15"/>
      <c r="DC24" s="15"/>
      <c r="DD24" s="15"/>
      <c r="DE24" s="15"/>
      <c r="DF24" s="15"/>
      <c r="DG24" s="15"/>
      <c r="DH24" s="15"/>
      <c r="DI24" s="15"/>
      <c r="DJ24" s="15"/>
      <c r="DK24" s="15"/>
      <c r="DL24" s="15"/>
      <c r="DM24" s="15"/>
      <c r="DN24" s="15"/>
      <c r="DO24" s="15"/>
      <c r="DP24" s="15"/>
      <c r="DQ24" s="15"/>
      <c r="DR24" s="15"/>
      <c r="DS24" s="15"/>
      <c r="DT24" s="15"/>
      <c r="DU24" s="15"/>
      <c r="DV24" s="15"/>
      <c r="DW24" s="15"/>
      <c r="DX24" s="15"/>
      <c r="DY24" s="15"/>
      <c r="DZ24" s="15"/>
      <c r="EA24" s="15"/>
      <c r="EB24" s="15"/>
      <c r="EC24" s="15"/>
      <c r="ED24" s="15"/>
      <c r="EE24" s="15"/>
      <c r="EF24" s="15"/>
      <c r="EG24" s="15"/>
      <c r="EH24" s="15"/>
      <c r="EI24" s="15"/>
      <c r="EJ24" s="15"/>
      <c r="EK24" s="15"/>
      <c r="EL24" s="15"/>
      <c r="EM24" s="15"/>
      <c r="EN24" s="15"/>
      <c r="EO24" s="15"/>
      <c r="EP24" s="15"/>
      <c r="EQ24" s="15"/>
      <c r="ER24" s="15"/>
      <c r="ES24" s="15"/>
      <c r="ET24" s="15"/>
      <c r="EU24" s="15"/>
      <c r="EV24" s="15"/>
      <c r="EW24" s="15"/>
      <c r="EX24" s="15"/>
      <c r="EY24" s="15"/>
      <c r="EZ24" s="15"/>
      <c r="FA24" s="15"/>
      <c r="FB24" s="15"/>
      <c r="FC24" s="15"/>
      <c r="FD24" s="15"/>
      <c r="FE24" s="15"/>
      <c r="FF24" s="15"/>
      <c r="FG24" s="15"/>
      <c r="FH24" s="15"/>
      <c r="FI24" s="15"/>
      <c r="FJ24" s="15"/>
      <c r="FK24" s="15"/>
      <c r="FL24" s="15"/>
      <c r="FM24" s="15"/>
      <c r="FN24" s="15"/>
      <c r="FO24" s="15"/>
      <c r="FP24" s="15"/>
      <c r="FQ24" s="15"/>
      <c r="FR24" s="15"/>
      <c r="FS24" s="15"/>
      <c r="FT24" s="15"/>
      <c r="FU24" s="15"/>
      <c r="FV24" s="15"/>
      <c r="FW24" s="15"/>
      <c r="FX24" s="15"/>
      <c r="FY24" s="15"/>
      <c r="FZ24" s="15"/>
      <c r="GA24" s="15"/>
      <c r="GB24" s="15"/>
      <c r="GC24" s="15"/>
      <c r="GD24" s="15"/>
      <c r="GE24" s="15"/>
      <c r="GF24" s="15"/>
      <c r="GG24" s="15"/>
      <c r="GH24" s="15"/>
      <c r="GI24" s="15"/>
      <c r="GJ24" s="15"/>
      <c r="GK24" s="15"/>
      <c r="GL24" s="15"/>
      <c r="GM24" s="15"/>
      <c r="GN24" s="15"/>
      <c r="GO24" s="15"/>
      <c r="GP24" s="15"/>
      <c r="GQ24" s="15"/>
      <c r="GR24" s="15"/>
      <c r="GS24" s="15"/>
      <c r="GT24" s="15"/>
      <c r="GU24" s="15"/>
      <c r="GV24" s="15"/>
      <c r="GW24" s="15"/>
      <c r="GX24" s="15"/>
      <c r="GY24" s="15"/>
      <c r="GZ24" s="15"/>
      <c r="HA24" s="15"/>
      <c r="HB24" s="15"/>
      <c r="HC24" s="15"/>
      <c r="HD24" s="15"/>
      <c r="HE24" s="15"/>
      <c r="HF24" s="15"/>
      <c r="HG24" s="15"/>
      <c r="HH24" s="15"/>
      <c r="HI24" s="15"/>
      <c r="HJ24" s="15"/>
      <c r="HK24" s="15"/>
      <c r="HL24" s="15"/>
      <c r="HM24" s="15"/>
      <c r="HN24" s="15"/>
      <c r="HO24" s="15"/>
      <c r="HP24" s="15"/>
    </row>
    <row r="25" spans="1:224" s="23" customFormat="1" ht="15" customHeight="1" x14ac:dyDescent="0.25">
      <c r="A25" s="10">
        <f t="shared" si="1"/>
        <v>24</v>
      </c>
      <c r="B25" s="10" t="s">
        <v>506</v>
      </c>
      <c r="C25" s="12"/>
      <c r="D25" s="11"/>
      <c r="E25" s="11"/>
      <c r="F25" s="42"/>
      <c r="G25" s="42"/>
      <c r="H25" s="11"/>
      <c r="I25" s="11"/>
      <c r="J25" s="12"/>
      <c r="K25" s="11"/>
      <c r="L25" s="12"/>
      <c r="M25" s="42"/>
      <c r="N25" s="42"/>
      <c r="O25" s="42"/>
      <c r="P25" s="42"/>
      <c r="Q25" s="11"/>
      <c r="R25" s="12"/>
      <c r="S25" s="42"/>
      <c r="T25" s="12"/>
      <c r="U25" s="42"/>
      <c r="V25" s="11"/>
      <c r="W25" s="12"/>
      <c r="X25" s="11"/>
      <c r="Y25" s="11"/>
      <c r="Z25" s="11"/>
      <c r="AA25" s="12"/>
      <c r="AB25" s="11"/>
      <c r="AC25" s="11"/>
      <c r="AD25" s="11"/>
      <c r="AE25" s="11"/>
      <c r="AF25" s="12"/>
      <c r="AG25" s="12"/>
      <c r="AH25" s="42"/>
      <c r="AI25" s="11"/>
      <c r="AJ25" s="11"/>
      <c r="AK25" s="11"/>
      <c r="AL25" s="11"/>
      <c r="AM25" s="12"/>
      <c r="AN25" s="11"/>
      <c r="AO25" s="11"/>
      <c r="AP25" s="12"/>
      <c r="AQ25" s="11"/>
      <c r="AR25" s="11"/>
      <c r="AS25" s="11"/>
      <c r="AT25" s="12"/>
      <c r="AU25" s="12"/>
      <c r="AV25" s="12"/>
      <c r="AW25" s="11"/>
      <c r="AX25" s="11"/>
      <c r="AY25" s="11"/>
      <c r="AZ25" s="11"/>
      <c r="BA25" s="11"/>
      <c r="BB25" s="11"/>
      <c r="BC25" s="11"/>
      <c r="BD25" s="11"/>
      <c r="BE25" s="11"/>
      <c r="BF25" s="11"/>
      <c r="BG25" s="11"/>
      <c r="BH25" s="12"/>
      <c r="BI25" s="12"/>
      <c r="BJ25" s="11"/>
      <c r="BK25" s="11"/>
      <c r="BL25" s="12"/>
      <c r="BM25" s="12"/>
      <c r="BN25" s="11"/>
      <c r="BO25" s="11"/>
      <c r="BP25" s="12"/>
      <c r="BQ25" s="12"/>
      <c r="BR25" s="12"/>
      <c r="BS25" s="11"/>
      <c r="BT25" s="12"/>
      <c r="BU25" s="12"/>
      <c r="BV25" s="12"/>
      <c r="BW25" s="15"/>
      <c r="BX25" s="15"/>
      <c r="BY25" s="15"/>
      <c r="BZ25" s="15"/>
      <c r="CA25" s="15"/>
      <c r="CB25" s="15"/>
      <c r="CC25" s="15"/>
      <c r="CD25" s="15"/>
      <c r="CE25" s="15"/>
      <c r="CF25" s="15"/>
      <c r="CG25" s="15"/>
      <c r="CH25" s="15"/>
      <c r="CI25" s="15"/>
      <c r="CJ25" s="15"/>
      <c r="CK25" s="15"/>
      <c r="CL25" s="15"/>
      <c r="CM25" s="15"/>
      <c r="CN25" s="15"/>
      <c r="CO25" s="15"/>
      <c r="CP25" s="15"/>
      <c r="CQ25" s="15"/>
      <c r="CR25" s="15"/>
      <c r="CS25" s="15"/>
      <c r="CT25" s="15"/>
      <c r="CU25" s="15"/>
      <c r="CV25" s="15"/>
      <c r="CW25" s="15"/>
      <c r="CX25" s="15"/>
      <c r="CY25" s="15"/>
      <c r="CZ25" s="15"/>
      <c r="DA25" s="15"/>
      <c r="DB25" s="15"/>
      <c r="DC25" s="15"/>
      <c r="DD25" s="15"/>
      <c r="DE25" s="15"/>
      <c r="DF25" s="15"/>
      <c r="DG25" s="15"/>
      <c r="DH25" s="15"/>
      <c r="DI25" s="15"/>
      <c r="DJ25" s="15"/>
      <c r="DK25" s="15"/>
      <c r="DL25" s="15"/>
      <c r="DM25" s="15"/>
      <c r="DN25" s="15"/>
      <c r="DO25" s="15"/>
      <c r="DP25" s="15"/>
      <c r="DQ25" s="15"/>
      <c r="DR25" s="15"/>
      <c r="DS25" s="15"/>
      <c r="DT25" s="15"/>
      <c r="DU25" s="15"/>
      <c r="DV25" s="15"/>
      <c r="DW25" s="15"/>
      <c r="DX25" s="15"/>
      <c r="DY25" s="15"/>
      <c r="DZ25" s="15"/>
      <c r="EA25" s="15"/>
      <c r="EB25" s="15"/>
      <c r="EC25" s="15"/>
      <c r="ED25" s="15"/>
      <c r="EE25" s="15"/>
      <c r="EF25" s="15"/>
      <c r="EG25" s="15"/>
      <c r="EH25" s="15"/>
      <c r="EI25" s="15"/>
      <c r="EJ25" s="15"/>
      <c r="EK25" s="15"/>
      <c r="EL25" s="15"/>
      <c r="EM25" s="15"/>
      <c r="EN25" s="15"/>
      <c r="EO25" s="15"/>
      <c r="EP25" s="15"/>
      <c r="EQ25" s="15"/>
      <c r="ER25" s="15"/>
      <c r="ES25" s="15"/>
      <c r="ET25" s="15"/>
      <c r="EU25" s="15"/>
      <c r="EV25" s="15"/>
      <c r="EW25" s="15"/>
      <c r="EX25" s="15"/>
      <c r="EY25" s="15"/>
      <c r="EZ25" s="15"/>
      <c r="FA25" s="15"/>
      <c r="FB25" s="15"/>
      <c r="FC25" s="15"/>
      <c r="FD25" s="15"/>
      <c r="FE25" s="15"/>
      <c r="FF25" s="15"/>
      <c r="FG25" s="15"/>
      <c r="FH25" s="15"/>
      <c r="FI25" s="15"/>
      <c r="FJ25" s="15"/>
      <c r="FK25" s="15"/>
      <c r="FL25" s="15"/>
      <c r="FM25" s="15"/>
      <c r="FN25" s="15"/>
      <c r="FO25" s="15"/>
      <c r="FP25" s="15"/>
      <c r="FQ25" s="15"/>
      <c r="FR25" s="15"/>
      <c r="FS25" s="15"/>
      <c r="FT25" s="15"/>
      <c r="FU25" s="15"/>
      <c r="FV25" s="15"/>
      <c r="FW25" s="15"/>
      <c r="FX25" s="15"/>
      <c r="FY25" s="15"/>
      <c r="FZ25" s="15"/>
      <c r="GA25" s="15"/>
      <c r="GB25" s="15"/>
      <c r="GC25" s="15"/>
      <c r="GD25" s="15"/>
      <c r="GE25" s="15"/>
      <c r="GF25" s="15"/>
      <c r="GG25" s="15"/>
      <c r="GH25" s="15"/>
      <c r="GI25" s="15"/>
      <c r="GJ25" s="15"/>
      <c r="GK25" s="15"/>
      <c r="GL25" s="15"/>
      <c r="GM25" s="15"/>
      <c r="GN25" s="15"/>
      <c r="GO25" s="15"/>
      <c r="GP25" s="15"/>
      <c r="GQ25" s="15"/>
      <c r="GR25" s="15"/>
      <c r="GS25" s="15"/>
      <c r="GT25" s="15"/>
      <c r="GU25" s="15"/>
      <c r="GV25" s="15"/>
      <c r="GW25" s="15"/>
      <c r="GX25" s="15"/>
      <c r="GY25" s="15"/>
      <c r="GZ25" s="15"/>
      <c r="HA25" s="15"/>
      <c r="HB25" s="15"/>
      <c r="HC25" s="15"/>
      <c r="HD25" s="15"/>
      <c r="HE25" s="15"/>
      <c r="HF25" s="15"/>
      <c r="HG25" s="15"/>
      <c r="HH25" s="15"/>
      <c r="HI25" s="15"/>
      <c r="HJ25" s="15"/>
      <c r="HK25" s="15"/>
      <c r="HL25" s="15"/>
      <c r="HM25" s="15"/>
      <c r="HN25" s="15"/>
      <c r="HO25" s="15"/>
      <c r="HP25" s="15"/>
    </row>
    <row r="26" spans="1:224" s="23" customFormat="1" ht="15" customHeight="1" x14ac:dyDescent="0.25">
      <c r="A26" s="10">
        <f t="shared" si="1"/>
        <v>25</v>
      </c>
      <c r="B26" s="10" t="s">
        <v>507</v>
      </c>
      <c r="C26" s="12"/>
      <c r="D26" s="11"/>
      <c r="E26" s="11"/>
      <c r="F26" s="42"/>
      <c r="G26" s="42"/>
      <c r="H26" s="11"/>
      <c r="I26" s="11"/>
      <c r="J26" s="12"/>
      <c r="K26" s="11"/>
      <c r="L26" s="12"/>
      <c r="M26" s="42"/>
      <c r="N26" s="42"/>
      <c r="O26" s="42"/>
      <c r="P26" s="42"/>
      <c r="Q26" s="11"/>
      <c r="R26" s="12"/>
      <c r="S26" s="20"/>
      <c r="T26" s="12"/>
      <c r="U26" s="42"/>
      <c r="V26" s="11"/>
      <c r="W26" s="12"/>
      <c r="X26" s="11"/>
      <c r="Y26" s="11"/>
      <c r="Z26" s="11"/>
      <c r="AA26" s="12"/>
      <c r="AB26" s="11"/>
      <c r="AC26" s="11"/>
      <c r="AD26" s="11"/>
      <c r="AE26" s="11"/>
      <c r="AF26" s="12"/>
      <c r="AG26" s="12"/>
      <c r="AH26" s="42"/>
      <c r="AI26" s="11"/>
      <c r="AJ26" s="21"/>
      <c r="AK26" s="11"/>
      <c r="AL26" s="11"/>
      <c r="AM26" s="12"/>
      <c r="AN26" s="11"/>
      <c r="AO26" s="11"/>
      <c r="AP26" s="19"/>
      <c r="AQ26" s="21"/>
      <c r="AR26" s="11"/>
      <c r="AS26" s="11"/>
      <c r="AT26" s="12"/>
      <c r="AU26" s="19"/>
      <c r="AV26" s="12"/>
      <c r="AW26" s="11"/>
      <c r="AX26" s="11"/>
      <c r="AY26" s="11"/>
      <c r="AZ26" s="21"/>
      <c r="BA26" s="11"/>
      <c r="BB26" s="11"/>
      <c r="BC26" s="11"/>
      <c r="BD26" s="11"/>
      <c r="BE26" s="11"/>
      <c r="BF26" s="11"/>
      <c r="BG26" s="11"/>
      <c r="BH26" s="12"/>
      <c r="BI26" s="19"/>
      <c r="BJ26" s="21"/>
      <c r="BK26" s="11"/>
      <c r="BL26" s="12"/>
      <c r="BM26" s="12"/>
      <c r="BN26" s="11"/>
      <c r="BO26" s="11"/>
      <c r="BP26" s="19"/>
      <c r="BQ26" s="19"/>
      <c r="BR26" s="19"/>
      <c r="BS26" s="21"/>
      <c r="BT26" s="19"/>
      <c r="BU26" s="19"/>
      <c r="BV26" s="19"/>
      <c r="BW26" s="15"/>
      <c r="BX26" s="15"/>
      <c r="BY26" s="15"/>
      <c r="BZ26" s="15"/>
      <c r="CA26" s="15"/>
      <c r="CB26" s="15"/>
      <c r="CC26" s="15"/>
      <c r="CD26" s="15"/>
      <c r="CE26" s="15"/>
      <c r="CF26" s="15"/>
      <c r="CG26" s="15"/>
      <c r="CH26" s="15"/>
      <c r="CI26" s="15"/>
      <c r="CJ26" s="15"/>
      <c r="CK26" s="15"/>
      <c r="CL26" s="15"/>
      <c r="CM26" s="15"/>
      <c r="CN26" s="15"/>
      <c r="CO26" s="15"/>
      <c r="CP26" s="15"/>
      <c r="CQ26" s="15"/>
      <c r="CR26" s="15"/>
      <c r="CS26" s="15"/>
      <c r="CT26" s="15"/>
      <c r="CU26" s="15"/>
      <c r="CV26" s="15"/>
      <c r="CW26" s="15"/>
      <c r="CX26" s="15"/>
      <c r="CY26" s="15"/>
      <c r="CZ26" s="15"/>
      <c r="DA26" s="15"/>
      <c r="DB26" s="15"/>
      <c r="DC26" s="15"/>
      <c r="DD26" s="15"/>
      <c r="DE26" s="15"/>
      <c r="DF26" s="15"/>
      <c r="DG26" s="15"/>
      <c r="DH26" s="15"/>
      <c r="DI26" s="15"/>
      <c r="DJ26" s="15"/>
      <c r="DK26" s="15"/>
      <c r="DL26" s="15"/>
      <c r="DM26" s="15"/>
      <c r="DN26" s="15"/>
      <c r="DO26" s="15"/>
      <c r="DP26" s="15"/>
      <c r="DQ26" s="15"/>
      <c r="DR26" s="15"/>
      <c r="DS26" s="15"/>
      <c r="DT26" s="15"/>
      <c r="DU26" s="15"/>
      <c r="DV26" s="15"/>
      <c r="DW26" s="15"/>
      <c r="DX26" s="15"/>
      <c r="DY26" s="15"/>
      <c r="DZ26" s="15"/>
      <c r="EA26" s="15"/>
      <c r="EB26" s="15"/>
      <c r="EC26" s="15"/>
      <c r="ED26" s="15"/>
      <c r="EE26" s="15"/>
      <c r="EF26" s="15"/>
      <c r="EG26" s="15"/>
      <c r="EH26" s="15"/>
      <c r="EI26" s="15"/>
      <c r="EJ26" s="15"/>
      <c r="EK26" s="15"/>
      <c r="EL26" s="15"/>
      <c r="EM26" s="15"/>
      <c r="EN26" s="15"/>
      <c r="EO26" s="15"/>
      <c r="EP26" s="15"/>
      <c r="EQ26" s="15"/>
      <c r="ER26" s="15"/>
      <c r="ES26" s="15"/>
      <c r="ET26" s="15"/>
      <c r="EU26" s="15"/>
      <c r="EV26" s="15"/>
      <c r="EW26" s="15"/>
      <c r="EX26" s="15"/>
      <c r="EY26" s="15"/>
      <c r="EZ26" s="15"/>
      <c r="FA26" s="15"/>
      <c r="FB26" s="15"/>
      <c r="FC26" s="15"/>
      <c r="FD26" s="15"/>
      <c r="FE26" s="15"/>
      <c r="FF26" s="15"/>
      <c r="FG26" s="15"/>
      <c r="FH26" s="15"/>
      <c r="FI26" s="15"/>
      <c r="FJ26" s="15"/>
      <c r="FK26" s="15"/>
      <c r="FL26" s="15"/>
      <c r="FM26" s="15"/>
      <c r="FN26" s="15"/>
      <c r="FO26" s="15"/>
      <c r="FP26" s="15"/>
      <c r="FQ26" s="15"/>
      <c r="FR26" s="15"/>
      <c r="FS26" s="15"/>
      <c r="FT26" s="15"/>
      <c r="FU26" s="15"/>
      <c r="FV26" s="15"/>
      <c r="FW26" s="15"/>
      <c r="FX26" s="15"/>
      <c r="FY26" s="15"/>
      <c r="FZ26" s="15"/>
      <c r="GA26" s="15"/>
      <c r="GB26" s="15"/>
      <c r="GC26" s="15"/>
      <c r="GD26" s="15"/>
      <c r="GE26" s="15"/>
      <c r="GF26" s="15"/>
      <c r="GG26" s="15"/>
      <c r="GH26" s="15"/>
      <c r="GI26" s="15"/>
      <c r="GJ26" s="15"/>
      <c r="GK26" s="15"/>
      <c r="GL26" s="15"/>
      <c r="GM26" s="15"/>
      <c r="GN26" s="15"/>
      <c r="GO26" s="15"/>
      <c r="GP26" s="15"/>
      <c r="GQ26" s="15"/>
      <c r="GR26" s="15"/>
      <c r="GS26" s="15"/>
      <c r="GT26" s="15"/>
      <c r="GU26" s="15"/>
      <c r="GV26" s="15"/>
      <c r="GW26" s="15"/>
      <c r="GX26" s="15"/>
      <c r="GY26" s="15"/>
      <c r="GZ26" s="15"/>
      <c r="HA26" s="15"/>
      <c r="HB26" s="15"/>
      <c r="HC26" s="15"/>
      <c r="HD26" s="15"/>
      <c r="HE26" s="15"/>
      <c r="HF26" s="15"/>
      <c r="HG26" s="15"/>
      <c r="HH26" s="15"/>
      <c r="HI26" s="15"/>
      <c r="HJ26" s="15"/>
      <c r="HK26" s="15"/>
      <c r="HL26" s="15"/>
      <c r="HM26" s="15"/>
      <c r="HN26" s="15"/>
      <c r="HO26" s="15"/>
      <c r="HP26" s="15"/>
    </row>
    <row r="27" spans="1:224" s="23" customFormat="1" ht="15" customHeight="1" x14ac:dyDescent="0.25">
      <c r="A27" s="10">
        <f t="shared" si="1"/>
        <v>26</v>
      </c>
      <c r="B27" s="10" t="s">
        <v>508</v>
      </c>
      <c r="C27" s="12"/>
      <c r="D27" s="11"/>
      <c r="E27" s="11"/>
      <c r="F27" s="20"/>
      <c r="G27" s="42"/>
      <c r="H27" s="11"/>
      <c r="I27" s="11"/>
      <c r="J27" s="12"/>
      <c r="K27" s="11"/>
      <c r="L27" s="12"/>
      <c r="M27" s="42"/>
      <c r="N27" s="42"/>
      <c r="O27" s="42"/>
      <c r="P27" s="42"/>
      <c r="Q27" s="11"/>
      <c r="R27" s="12"/>
      <c r="S27" s="42"/>
      <c r="T27" s="12"/>
      <c r="U27" s="20"/>
      <c r="V27" s="11"/>
      <c r="W27" s="19"/>
      <c r="X27" s="11"/>
      <c r="Y27" s="11"/>
      <c r="Z27" s="11"/>
      <c r="AA27" s="12"/>
      <c r="AB27" s="11"/>
      <c r="AC27" s="11"/>
      <c r="AD27" s="11"/>
      <c r="AE27" s="11"/>
      <c r="AF27" s="12"/>
      <c r="AG27" s="19"/>
      <c r="AH27" s="42"/>
      <c r="AI27" s="11"/>
      <c r="AJ27" s="11"/>
      <c r="AK27" s="11"/>
      <c r="AL27" s="11"/>
      <c r="AM27" s="12"/>
      <c r="AN27" s="11"/>
      <c r="AO27" s="11"/>
      <c r="AP27" s="19"/>
      <c r="AQ27" s="11"/>
      <c r="AR27" s="11"/>
      <c r="AS27" s="11"/>
      <c r="AT27" s="12"/>
      <c r="AU27" s="12"/>
      <c r="AV27" s="12"/>
      <c r="AW27" s="11"/>
      <c r="AX27" s="11"/>
      <c r="AY27" s="11"/>
      <c r="AZ27" s="11"/>
      <c r="BA27" s="11"/>
      <c r="BB27" s="11"/>
      <c r="BC27" s="11"/>
      <c r="BD27" s="11"/>
      <c r="BE27" s="11"/>
      <c r="BF27" s="11"/>
      <c r="BG27" s="11"/>
      <c r="BH27" s="12"/>
      <c r="BI27" s="12"/>
      <c r="BJ27" s="11"/>
      <c r="BK27" s="11"/>
      <c r="BL27" s="12"/>
      <c r="BM27" s="12"/>
      <c r="BN27" s="11"/>
      <c r="BO27" s="11"/>
      <c r="BP27" s="19"/>
      <c r="BQ27" s="12"/>
      <c r="BR27" s="12"/>
      <c r="BS27" s="11"/>
      <c r="BT27" s="19"/>
      <c r="BU27" s="12"/>
      <c r="BV27" s="19"/>
      <c r="BW27" s="15"/>
      <c r="BX27" s="15"/>
      <c r="BY27" s="15"/>
      <c r="BZ27" s="15"/>
      <c r="CA27" s="15"/>
      <c r="CB27" s="15"/>
      <c r="CC27" s="15"/>
      <c r="CD27" s="15"/>
      <c r="CE27" s="15"/>
      <c r="CF27" s="15"/>
      <c r="CG27" s="15"/>
      <c r="CH27" s="15"/>
      <c r="CI27" s="15"/>
      <c r="CJ27" s="15"/>
      <c r="CK27" s="15"/>
      <c r="CL27" s="15"/>
      <c r="CM27" s="15"/>
      <c r="CN27" s="15"/>
      <c r="CO27" s="15"/>
      <c r="CP27" s="15"/>
      <c r="CQ27" s="15"/>
      <c r="CR27" s="15"/>
      <c r="CS27" s="15"/>
      <c r="CT27" s="15"/>
      <c r="CU27" s="15"/>
      <c r="CV27" s="15"/>
      <c r="CW27" s="15"/>
      <c r="CX27" s="15"/>
      <c r="CY27" s="15"/>
      <c r="CZ27" s="15"/>
      <c r="DA27" s="15"/>
      <c r="DB27" s="15"/>
      <c r="DC27" s="15"/>
      <c r="DD27" s="15"/>
      <c r="DE27" s="15"/>
      <c r="DF27" s="15"/>
      <c r="DG27" s="15"/>
      <c r="DH27" s="15"/>
      <c r="DI27" s="15"/>
      <c r="DJ27" s="15"/>
      <c r="DK27" s="15"/>
      <c r="DL27" s="15"/>
      <c r="DM27" s="15"/>
      <c r="DN27" s="15"/>
      <c r="DO27" s="15"/>
      <c r="DP27" s="15"/>
      <c r="DQ27" s="15"/>
      <c r="DR27" s="15"/>
      <c r="DS27" s="15"/>
      <c r="DT27" s="15"/>
      <c r="DU27" s="15"/>
      <c r="DV27" s="15"/>
      <c r="DW27" s="15"/>
      <c r="DX27" s="15"/>
      <c r="DY27" s="15"/>
      <c r="DZ27" s="15"/>
      <c r="EA27" s="15"/>
      <c r="EB27" s="15"/>
      <c r="EC27" s="15"/>
      <c r="ED27" s="15"/>
      <c r="EE27" s="15"/>
      <c r="EF27" s="15"/>
      <c r="EG27" s="15"/>
      <c r="EH27" s="15"/>
      <c r="EI27" s="15"/>
      <c r="EJ27" s="15"/>
      <c r="EK27" s="15"/>
      <c r="EL27" s="15"/>
      <c r="EM27" s="15"/>
      <c r="EN27" s="15"/>
      <c r="EO27" s="15"/>
      <c r="EP27" s="15"/>
      <c r="EQ27" s="15"/>
      <c r="ER27" s="15"/>
      <c r="ES27" s="15"/>
      <c r="ET27" s="15"/>
      <c r="EU27" s="15"/>
      <c r="EV27" s="15"/>
      <c r="EW27" s="15"/>
      <c r="EX27" s="15"/>
      <c r="EY27" s="15"/>
      <c r="EZ27" s="15"/>
      <c r="FA27" s="15"/>
      <c r="FB27" s="15"/>
      <c r="FC27" s="15"/>
      <c r="FD27" s="15"/>
      <c r="FE27" s="15"/>
      <c r="FF27" s="15"/>
      <c r="FG27" s="15"/>
      <c r="FH27" s="15"/>
      <c r="FI27" s="15"/>
      <c r="FJ27" s="15"/>
      <c r="FK27" s="15"/>
      <c r="FL27" s="15"/>
      <c r="FM27" s="15"/>
      <c r="FN27" s="15"/>
      <c r="FO27" s="15"/>
      <c r="FP27" s="15"/>
      <c r="FQ27" s="15"/>
      <c r="FR27" s="15"/>
      <c r="FS27" s="15"/>
      <c r="FT27" s="15"/>
      <c r="FU27" s="15"/>
      <c r="FV27" s="15"/>
      <c r="FW27" s="15"/>
      <c r="FX27" s="15"/>
      <c r="FY27" s="15"/>
      <c r="FZ27" s="15"/>
      <c r="GA27" s="15"/>
      <c r="GB27" s="15"/>
      <c r="GC27" s="15"/>
      <c r="GD27" s="15"/>
      <c r="GE27" s="15"/>
      <c r="GF27" s="15"/>
      <c r="GG27" s="15"/>
      <c r="GH27" s="15"/>
      <c r="GI27" s="15"/>
      <c r="GJ27" s="15"/>
      <c r="GK27" s="15"/>
      <c r="GL27" s="15"/>
      <c r="GM27" s="15"/>
      <c r="GN27" s="15"/>
      <c r="GO27" s="15"/>
      <c r="GP27" s="15"/>
      <c r="GQ27" s="15"/>
      <c r="GR27" s="15"/>
      <c r="GS27" s="15"/>
      <c r="GT27" s="15"/>
      <c r="GU27" s="15"/>
      <c r="GV27" s="15"/>
      <c r="GW27" s="15"/>
      <c r="GX27" s="15"/>
      <c r="GY27" s="15"/>
      <c r="GZ27" s="15"/>
      <c r="HA27" s="15"/>
      <c r="HB27" s="15"/>
      <c r="HC27" s="15"/>
      <c r="HD27" s="15"/>
      <c r="HE27" s="15"/>
      <c r="HF27" s="15"/>
      <c r="HG27" s="15"/>
      <c r="HH27" s="15"/>
      <c r="HI27" s="15"/>
      <c r="HJ27" s="15"/>
      <c r="HK27" s="15"/>
      <c r="HL27" s="15"/>
      <c r="HM27" s="15"/>
      <c r="HN27" s="15"/>
      <c r="HO27" s="15"/>
      <c r="HP27" s="15"/>
    </row>
    <row r="28" spans="1:224" s="23" customFormat="1" ht="15" customHeight="1" x14ac:dyDescent="0.25">
      <c r="A28" s="10">
        <f t="shared" si="1"/>
        <v>27</v>
      </c>
      <c r="B28" s="10" t="s">
        <v>509</v>
      </c>
      <c r="C28" s="12"/>
      <c r="D28" s="21"/>
      <c r="E28" s="11"/>
      <c r="F28" s="20"/>
      <c r="G28" s="42"/>
      <c r="H28" s="21"/>
      <c r="I28" s="11"/>
      <c r="J28" s="12"/>
      <c r="K28" s="11"/>
      <c r="L28" s="12"/>
      <c r="M28" s="42"/>
      <c r="N28" s="42"/>
      <c r="O28" s="20"/>
      <c r="P28" s="42"/>
      <c r="Q28" s="11"/>
      <c r="R28" s="12"/>
      <c r="S28" s="42"/>
      <c r="T28" s="12"/>
      <c r="U28" s="42"/>
      <c r="V28" s="11"/>
      <c r="W28" s="12"/>
      <c r="X28" s="11"/>
      <c r="Y28" s="11"/>
      <c r="Z28" s="11"/>
      <c r="AA28" s="12"/>
      <c r="AB28" s="11"/>
      <c r="AC28" s="11"/>
      <c r="AD28" s="11"/>
      <c r="AE28" s="11"/>
      <c r="AF28" s="12"/>
      <c r="AG28" s="19"/>
      <c r="AH28" s="20"/>
      <c r="AI28" s="11"/>
      <c r="AJ28" s="11"/>
      <c r="AK28" s="11"/>
      <c r="AL28" s="11"/>
      <c r="AM28" s="12"/>
      <c r="AN28" s="11"/>
      <c r="AO28" s="11"/>
      <c r="AP28" s="19"/>
      <c r="AQ28" s="11"/>
      <c r="AR28" s="11"/>
      <c r="AS28" s="11"/>
      <c r="AT28" s="12"/>
      <c r="AU28" s="12"/>
      <c r="AV28" s="12"/>
      <c r="AW28" s="11"/>
      <c r="AX28" s="11"/>
      <c r="AY28" s="11"/>
      <c r="AZ28" s="11"/>
      <c r="BA28" s="11"/>
      <c r="BB28" s="11"/>
      <c r="BC28" s="11"/>
      <c r="BD28" s="11"/>
      <c r="BE28" s="11"/>
      <c r="BF28" s="11"/>
      <c r="BG28" s="11"/>
      <c r="BH28" s="12"/>
      <c r="BI28" s="12"/>
      <c r="BJ28" s="11"/>
      <c r="BK28" s="11"/>
      <c r="BL28" s="12"/>
      <c r="BM28" s="12"/>
      <c r="BN28" s="11"/>
      <c r="BO28" s="11"/>
      <c r="BP28" s="19"/>
      <c r="BQ28" s="19"/>
      <c r="BR28" s="19"/>
      <c r="BS28" s="21"/>
      <c r="BT28" s="12"/>
      <c r="BU28" s="12"/>
      <c r="BV28" s="19"/>
      <c r="BW28" s="15"/>
      <c r="BX28" s="15"/>
      <c r="BY28" s="15"/>
      <c r="BZ28" s="15"/>
      <c r="CA28" s="15"/>
      <c r="CB28" s="15"/>
      <c r="CC28" s="15"/>
      <c r="CD28" s="15"/>
      <c r="CE28" s="15"/>
      <c r="CF28" s="15"/>
      <c r="CG28" s="15"/>
      <c r="CH28" s="15"/>
      <c r="CI28" s="15"/>
      <c r="CJ28" s="15"/>
      <c r="CK28" s="15"/>
      <c r="CL28" s="15"/>
      <c r="CM28" s="15"/>
      <c r="CN28" s="15"/>
      <c r="CO28" s="15"/>
      <c r="CP28" s="15"/>
      <c r="CQ28" s="15"/>
      <c r="CR28" s="15"/>
      <c r="CS28" s="15"/>
      <c r="CT28" s="15"/>
      <c r="CU28" s="15"/>
      <c r="CV28" s="15"/>
      <c r="CW28" s="15"/>
      <c r="CX28" s="15"/>
      <c r="CY28" s="15"/>
      <c r="CZ28" s="15"/>
      <c r="DA28" s="15"/>
      <c r="DB28" s="15"/>
      <c r="DC28" s="15"/>
      <c r="DD28" s="15"/>
      <c r="DE28" s="15"/>
      <c r="DF28" s="15"/>
      <c r="DG28" s="15"/>
      <c r="DH28" s="15"/>
      <c r="DI28" s="15"/>
      <c r="DJ28" s="15"/>
      <c r="DK28" s="15"/>
      <c r="DL28" s="15"/>
      <c r="DM28" s="15"/>
      <c r="DN28" s="15"/>
      <c r="DO28" s="15"/>
      <c r="DP28" s="15"/>
      <c r="DQ28" s="15"/>
      <c r="DR28" s="15"/>
      <c r="DS28" s="15"/>
      <c r="DT28" s="15"/>
      <c r="DU28" s="15"/>
      <c r="DV28" s="15"/>
      <c r="DW28" s="15"/>
      <c r="DX28" s="15"/>
      <c r="DY28" s="15"/>
      <c r="DZ28" s="15"/>
      <c r="EA28" s="15"/>
      <c r="EB28" s="15"/>
      <c r="EC28" s="15"/>
      <c r="ED28" s="15"/>
      <c r="EE28" s="15"/>
      <c r="EF28" s="15"/>
      <c r="EG28" s="15"/>
      <c r="EH28" s="15"/>
      <c r="EI28" s="15"/>
      <c r="EJ28" s="15"/>
      <c r="EK28" s="15"/>
      <c r="EL28" s="15"/>
      <c r="EM28" s="15"/>
      <c r="EN28" s="15"/>
      <c r="EO28" s="15"/>
      <c r="EP28" s="15"/>
      <c r="EQ28" s="15"/>
      <c r="ER28" s="15"/>
      <c r="ES28" s="15"/>
      <c r="ET28" s="15"/>
      <c r="EU28" s="15"/>
      <c r="EV28" s="15"/>
      <c r="EW28" s="15"/>
      <c r="EX28" s="15"/>
      <c r="EY28" s="15"/>
      <c r="EZ28" s="15"/>
      <c r="FA28" s="15"/>
      <c r="FB28" s="15"/>
      <c r="FC28" s="15"/>
      <c r="FD28" s="15"/>
      <c r="FE28" s="15"/>
      <c r="FF28" s="15"/>
      <c r="FG28" s="15"/>
      <c r="FH28" s="15"/>
      <c r="FI28" s="15"/>
      <c r="FJ28" s="15"/>
      <c r="FK28" s="15"/>
      <c r="FL28" s="15"/>
      <c r="FM28" s="15"/>
      <c r="FN28" s="15"/>
      <c r="FO28" s="15"/>
      <c r="FP28" s="15"/>
      <c r="FQ28" s="15"/>
      <c r="FR28" s="15"/>
      <c r="FS28" s="15"/>
      <c r="FT28" s="15"/>
      <c r="FU28" s="15"/>
      <c r="FV28" s="15"/>
      <c r="FW28" s="15"/>
      <c r="FX28" s="15"/>
      <c r="FY28" s="15"/>
      <c r="FZ28" s="15"/>
      <c r="GA28" s="15"/>
      <c r="GB28" s="15"/>
      <c r="GC28" s="15"/>
      <c r="GD28" s="15"/>
      <c r="GE28" s="15"/>
      <c r="GF28" s="15"/>
      <c r="GG28" s="15"/>
      <c r="GH28" s="15"/>
      <c r="GI28" s="15"/>
      <c r="GJ28" s="15"/>
      <c r="GK28" s="15"/>
      <c r="GL28" s="15"/>
      <c r="GM28" s="15"/>
      <c r="GN28" s="15"/>
      <c r="GO28" s="15"/>
      <c r="GP28" s="15"/>
      <c r="GQ28" s="15"/>
      <c r="GR28" s="15"/>
      <c r="GS28" s="15"/>
      <c r="GT28" s="15"/>
      <c r="GU28" s="15"/>
      <c r="GV28" s="15"/>
      <c r="GW28" s="15"/>
      <c r="GX28" s="15"/>
      <c r="GY28" s="15"/>
      <c r="GZ28" s="15"/>
      <c r="HA28" s="15"/>
      <c r="HB28" s="15"/>
      <c r="HC28" s="15"/>
      <c r="HD28" s="15"/>
      <c r="HE28" s="15"/>
      <c r="HF28" s="15"/>
      <c r="HG28" s="15"/>
      <c r="HH28" s="15"/>
      <c r="HI28" s="15"/>
      <c r="HJ28" s="15"/>
      <c r="HK28" s="15"/>
      <c r="HL28" s="15"/>
      <c r="HM28" s="15"/>
      <c r="HN28" s="15"/>
      <c r="HO28" s="15"/>
      <c r="HP28" s="15"/>
    </row>
    <row r="29" spans="1:224" s="23" customFormat="1" ht="15" customHeight="1" x14ac:dyDescent="0.25">
      <c r="A29" s="10">
        <f t="shared" si="1"/>
        <v>28</v>
      </c>
      <c r="B29" s="10" t="s">
        <v>511</v>
      </c>
      <c r="C29" s="12"/>
      <c r="D29" s="11"/>
      <c r="E29" s="11"/>
      <c r="F29" s="42"/>
      <c r="G29" s="42"/>
      <c r="H29" s="11"/>
      <c r="I29" s="11"/>
      <c r="J29" s="12"/>
      <c r="K29" s="21"/>
      <c r="L29" s="12"/>
      <c r="M29" s="42"/>
      <c r="N29" s="42"/>
      <c r="O29" s="42"/>
      <c r="P29" s="42"/>
      <c r="Q29" s="11"/>
      <c r="R29" s="12"/>
      <c r="S29" s="42"/>
      <c r="T29" s="12"/>
      <c r="U29" s="42"/>
      <c r="V29" s="21"/>
      <c r="W29" s="12"/>
      <c r="X29" s="11"/>
      <c r="Y29" s="11"/>
      <c r="Z29" s="11"/>
      <c r="AA29" s="12"/>
      <c r="AB29" s="21"/>
      <c r="AC29" s="11"/>
      <c r="AD29" s="11"/>
      <c r="AE29" s="11"/>
      <c r="AF29" s="19"/>
      <c r="AG29" s="12"/>
      <c r="AH29" s="42"/>
      <c r="AI29" s="11"/>
      <c r="AJ29" s="11"/>
      <c r="AK29" s="11"/>
      <c r="AL29" s="11"/>
      <c r="AM29" s="12"/>
      <c r="AN29" s="11"/>
      <c r="AO29" s="11"/>
      <c r="AP29" s="12"/>
      <c r="AQ29" s="11"/>
      <c r="AR29" s="11"/>
      <c r="AS29" s="11"/>
      <c r="AT29" s="12"/>
      <c r="AU29" s="12"/>
      <c r="AV29" s="12"/>
      <c r="AW29" s="11"/>
      <c r="AX29" s="11"/>
      <c r="AY29" s="11"/>
      <c r="AZ29" s="11"/>
      <c r="BA29" s="11"/>
      <c r="BB29" s="21"/>
      <c r="BC29" s="11"/>
      <c r="BD29" s="11"/>
      <c r="BE29" s="21"/>
      <c r="BF29" s="11"/>
      <c r="BG29" s="11"/>
      <c r="BH29" s="12"/>
      <c r="BI29" s="12"/>
      <c r="BJ29" s="11"/>
      <c r="BK29" s="11"/>
      <c r="BL29" s="19"/>
      <c r="BM29" s="12"/>
      <c r="BN29" s="11"/>
      <c r="BO29" s="11"/>
      <c r="BP29" s="12"/>
      <c r="BQ29" s="12"/>
      <c r="BR29" s="12"/>
      <c r="BS29" s="11"/>
      <c r="BT29" s="19"/>
      <c r="BU29" s="12"/>
      <c r="BV29" s="12"/>
      <c r="BW29" s="15"/>
      <c r="BX29" s="15"/>
      <c r="BY29" s="15"/>
      <c r="BZ29" s="15"/>
      <c r="CA29" s="15"/>
      <c r="CB29" s="15"/>
      <c r="CC29" s="15"/>
      <c r="CD29" s="15"/>
      <c r="CE29" s="15"/>
      <c r="CF29" s="15"/>
      <c r="CG29" s="15"/>
      <c r="CH29" s="15"/>
      <c r="CI29" s="15"/>
      <c r="CJ29" s="15"/>
      <c r="CK29" s="15"/>
      <c r="CL29" s="15"/>
      <c r="CM29" s="15"/>
      <c r="CN29" s="15"/>
      <c r="CO29" s="15"/>
      <c r="CP29" s="15"/>
      <c r="CQ29" s="15"/>
      <c r="CR29" s="15"/>
      <c r="CS29" s="15"/>
      <c r="CT29" s="15"/>
      <c r="CU29" s="15"/>
      <c r="CV29" s="15"/>
      <c r="CW29" s="15"/>
      <c r="CX29" s="15"/>
      <c r="CY29" s="15"/>
      <c r="CZ29" s="15"/>
      <c r="DA29" s="15"/>
      <c r="DB29" s="15"/>
      <c r="DC29" s="15"/>
      <c r="DD29" s="15"/>
      <c r="DE29" s="15"/>
      <c r="DF29" s="15"/>
      <c r="DG29" s="15"/>
      <c r="DH29" s="15"/>
      <c r="DI29" s="15"/>
      <c r="DJ29" s="15"/>
      <c r="DK29" s="15"/>
      <c r="DL29" s="15"/>
      <c r="DM29" s="15"/>
      <c r="DN29" s="15"/>
      <c r="DO29" s="15"/>
      <c r="DP29" s="15"/>
      <c r="DQ29" s="15"/>
      <c r="DR29" s="15"/>
      <c r="DS29" s="15"/>
      <c r="DT29" s="15"/>
      <c r="DU29" s="15"/>
      <c r="DV29" s="15"/>
      <c r="DW29" s="15"/>
      <c r="DX29" s="15"/>
      <c r="DY29" s="15"/>
      <c r="DZ29" s="15"/>
      <c r="EA29" s="15"/>
      <c r="EB29" s="15"/>
      <c r="EC29" s="15"/>
      <c r="ED29" s="15"/>
      <c r="EE29" s="15"/>
      <c r="EF29" s="15"/>
      <c r="EG29" s="15"/>
      <c r="EH29" s="15"/>
      <c r="EI29" s="15"/>
      <c r="EJ29" s="15"/>
      <c r="EK29" s="15"/>
      <c r="EL29" s="15"/>
      <c r="EM29" s="15"/>
      <c r="EN29" s="15"/>
      <c r="EO29" s="15"/>
      <c r="EP29" s="15"/>
      <c r="EQ29" s="15"/>
      <c r="ER29" s="15"/>
      <c r="ES29" s="15"/>
      <c r="ET29" s="15"/>
      <c r="EU29" s="15"/>
      <c r="EV29" s="15"/>
      <c r="EW29" s="15"/>
      <c r="EX29" s="15"/>
      <c r="EY29" s="15"/>
      <c r="EZ29" s="15"/>
      <c r="FA29" s="15"/>
      <c r="FB29" s="15"/>
      <c r="FC29" s="15"/>
      <c r="FD29" s="15"/>
      <c r="FE29" s="15"/>
      <c r="FF29" s="15"/>
      <c r="FG29" s="15"/>
      <c r="FH29" s="15"/>
      <c r="FI29" s="15"/>
      <c r="FJ29" s="15"/>
      <c r="FK29" s="15"/>
      <c r="FL29" s="15"/>
      <c r="FM29" s="15"/>
      <c r="FN29" s="15"/>
      <c r="FO29" s="15"/>
      <c r="FP29" s="15"/>
      <c r="FQ29" s="15"/>
      <c r="FR29" s="15"/>
      <c r="FS29" s="15"/>
      <c r="FT29" s="15"/>
      <c r="FU29" s="15"/>
      <c r="FV29" s="15"/>
      <c r="FW29" s="15"/>
      <c r="FX29" s="15"/>
      <c r="FY29" s="15"/>
      <c r="FZ29" s="15"/>
      <c r="GA29" s="15"/>
      <c r="GB29" s="15"/>
      <c r="GC29" s="15"/>
      <c r="GD29" s="15"/>
      <c r="GE29" s="15"/>
      <c r="GF29" s="15"/>
      <c r="GG29" s="15"/>
      <c r="GH29" s="15"/>
      <c r="GI29" s="15"/>
      <c r="GJ29" s="15"/>
      <c r="GK29" s="15"/>
      <c r="GL29" s="15"/>
      <c r="GM29" s="15"/>
      <c r="GN29" s="15"/>
      <c r="GO29" s="15"/>
      <c r="GP29" s="15"/>
      <c r="GQ29" s="15"/>
      <c r="GR29" s="15"/>
      <c r="GS29" s="15"/>
      <c r="GT29" s="15"/>
      <c r="GU29" s="15"/>
      <c r="GV29" s="15"/>
      <c r="GW29" s="15"/>
      <c r="GX29" s="15"/>
      <c r="GY29" s="15"/>
      <c r="GZ29" s="15"/>
      <c r="HA29" s="15"/>
      <c r="HB29" s="15"/>
      <c r="HC29" s="15"/>
      <c r="HD29" s="15"/>
      <c r="HE29" s="15"/>
      <c r="HF29" s="15"/>
      <c r="HG29" s="15"/>
      <c r="HH29" s="15"/>
      <c r="HI29" s="15"/>
      <c r="HJ29" s="15"/>
      <c r="HK29" s="15"/>
      <c r="HL29" s="15"/>
      <c r="HM29" s="15"/>
      <c r="HN29" s="15"/>
      <c r="HO29" s="15"/>
      <c r="HP29" s="15"/>
    </row>
    <row r="30" spans="1:224" s="23" customFormat="1" ht="15" customHeight="1" x14ac:dyDescent="0.25">
      <c r="A30" s="10">
        <f t="shared" si="1"/>
        <v>29</v>
      </c>
      <c r="B30" s="10" t="s">
        <v>510</v>
      </c>
      <c r="C30" s="12"/>
      <c r="D30" s="11"/>
      <c r="E30" s="11"/>
      <c r="F30" s="42"/>
      <c r="G30" s="42"/>
      <c r="H30" s="11"/>
      <c r="I30" s="11"/>
      <c r="J30" s="12"/>
      <c r="K30" s="11"/>
      <c r="L30" s="12"/>
      <c r="M30" s="42"/>
      <c r="N30" s="42"/>
      <c r="O30" s="42"/>
      <c r="P30" s="42"/>
      <c r="Q30" s="11"/>
      <c r="R30" s="19"/>
      <c r="S30" s="42"/>
      <c r="T30" s="12"/>
      <c r="U30" s="20"/>
      <c r="V30" s="11"/>
      <c r="W30" s="12"/>
      <c r="X30" s="11"/>
      <c r="Y30" s="11"/>
      <c r="Z30" s="11"/>
      <c r="AA30" s="12"/>
      <c r="AB30" s="11"/>
      <c r="AC30" s="11"/>
      <c r="AD30" s="11"/>
      <c r="AE30" s="11"/>
      <c r="AF30" s="12"/>
      <c r="AG30" s="12"/>
      <c r="AH30" s="42"/>
      <c r="AI30" s="11"/>
      <c r="AJ30" s="11"/>
      <c r="AK30" s="11"/>
      <c r="AL30" s="11"/>
      <c r="AM30" s="12"/>
      <c r="AN30" s="11"/>
      <c r="AO30" s="11"/>
      <c r="AP30" s="19"/>
      <c r="AQ30" s="11"/>
      <c r="AR30" s="11"/>
      <c r="AS30" s="11"/>
      <c r="AT30" s="12"/>
      <c r="AU30" s="19"/>
      <c r="AV30" s="12"/>
      <c r="AW30" s="11"/>
      <c r="AX30" s="11"/>
      <c r="AY30" s="11"/>
      <c r="AZ30" s="11"/>
      <c r="BA30" s="11"/>
      <c r="BB30" s="11"/>
      <c r="BC30" s="11"/>
      <c r="BD30" s="11"/>
      <c r="BE30" s="11"/>
      <c r="BF30" s="11"/>
      <c r="BG30" s="11"/>
      <c r="BH30" s="12"/>
      <c r="BI30" s="12"/>
      <c r="BJ30" s="11"/>
      <c r="BK30" s="11"/>
      <c r="BL30" s="12"/>
      <c r="BM30" s="12"/>
      <c r="BN30" s="11"/>
      <c r="BO30" s="11"/>
      <c r="BP30" s="12"/>
      <c r="BQ30" s="12"/>
      <c r="BR30" s="12"/>
      <c r="BS30" s="11"/>
      <c r="BT30" s="12"/>
      <c r="BU30" s="12"/>
      <c r="BV30" s="12"/>
      <c r="BW30" s="15"/>
      <c r="BX30" s="15"/>
      <c r="BY30" s="15"/>
      <c r="BZ30" s="15"/>
      <c r="CA30" s="15"/>
      <c r="CB30" s="15"/>
      <c r="CC30" s="15"/>
      <c r="CD30" s="15"/>
      <c r="CE30" s="15"/>
      <c r="CF30" s="15"/>
      <c r="CG30" s="15"/>
      <c r="CH30" s="15"/>
      <c r="CI30" s="15"/>
      <c r="CJ30" s="15"/>
      <c r="CK30" s="15"/>
      <c r="CL30" s="15"/>
      <c r="CM30" s="15"/>
      <c r="CN30" s="15"/>
      <c r="CO30" s="15"/>
      <c r="CP30" s="15"/>
      <c r="CQ30" s="15"/>
      <c r="CR30" s="15"/>
      <c r="CS30" s="15"/>
      <c r="CT30" s="15"/>
      <c r="CU30" s="15"/>
      <c r="CV30" s="15"/>
      <c r="CW30" s="15"/>
      <c r="CX30" s="15"/>
      <c r="CY30" s="15"/>
      <c r="CZ30" s="15"/>
      <c r="DA30" s="15"/>
      <c r="DB30" s="15"/>
      <c r="DC30" s="15"/>
      <c r="DD30" s="15"/>
      <c r="DE30" s="15"/>
      <c r="DF30" s="15"/>
      <c r="DG30" s="15"/>
      <c r="DH30" s="15"/>
      <c r="DI30" s="15"/>
      <c r="DJ30" s="15"/>
      <c r="DK30" s="15"/>
      <c r="DL30" s="15"/>
      <c r="DM30" s="15"/>
      <c r="DN30" s="15"/>
      <c r="DO30" s="15"/>
      <c r="DP30" s="15"/>
      <c r="DQ30" s="15"/>
      <c r="DR30" s="15"/>
      <c r="DS30" s="15"/>
      <c r="DT30" s="15"/>
      <c r="DU30" s="15"/>
      <c r="DV30" s="15"/>
      <c r="DW30" s="15"/>
      <c r="DX30" s="15"/>
      <c r="DY30" s="15"/>
      <c r="DZ30" s="15"/>
      <c r="EA30" s="15"/>
      <c r="EB30" s="15"/>
      <c r="EC30" s="15"/>
      <c r="ED30" s="15"/>
      <c r="EE30" s="15"/>
      <c r="EF30" s="15"/>
      <c r="EG30" s="15"/>
      <c r="EH30" s="15"/>
      <c r="EI30" s="15"/>
      <c r="EJ30" s="15"/>
      <c r="EK30" s="15"/>
      <c r="EL30" s="15"/>
      <c r="EM30" s="15"/>
      <c r="EN30" s="15"/>
      <c r="EO30" s="15"/>
      <c r="EP30" s="15"/>
      <c r="EQ30" s="15"/>
      <c r="ER30" s="15"/>
      <c r="ES30" s="15"/>
      <c r="ET30" s="15"/>
      <c r="EU30" s="15"/>
      <c r="EV30" s="15"/>
      <c r="EW30" s="15"/>
      <c r="EX30" s="15"/>
      <c r="EY30" s="15"/>
      <c r="EZ30" s="15"/>
      <c r="FA30" s="15"/>
      <c r="FB30" s="15"/>
      <c r="FC30" s="15"/>
      <c r="FD30" s="15"/>
      <c r="FE30" s="15"/>
      <c r="FF30" s="15"/>
      <c r="FG30" s="15"/>
      <c r="FH30" s="15"/>
      <c r="FI30" s="15"/>
      <c r="FJ30" s="15"/>
      <c r="FK30" s="15"/>
      <c r="FL30" s="15"/>
      <c r="FM30" s="15"/>
      <c r="FN30" s="15"/>
      <c r="FO30" s="15"/>
      <c r="FP30" s="15"/>
      <c r="FQ30" s="15"/>
      <c r="FR30" s="15"/>
      <c r="FS30" s="15"/>
      <c r="FT30" s="15"/>
      <c r="FU30" s="15"/>
      <c r="FV30" s="15"/>
      <c r="FW30" s="15"/>
      <c r="FX30" s="15"/>
      <c r="FY30" s="15"/>
      <c r="FZ30" s="15"/>
      <c r="GA30" s="15"/>
      <c r="GB30" s="15"/>
      <c r="GC30" s="15"/>
      <c r="GD30" s="15"/>
      <c r="GE30" s="15"/>
      <c r="GF30" s="15"/>
      <c r="GG30" s="15"/>
      <c r="GH30" s="15"/>
      <c r="GI30" s="15"/>
      <c r="GJ30" s="15"/>
      <c r="GK30" s="15"/>
      <c r="GL30" s="15"/>
      <c r="GM30" s="15"/>
      <c r="GN30" s="15"/>
      <c r="GO30" s="15"/>
      <c r="GP30" s="15"/>
      <c r="GQ30" s="15"/>
      <c r="GR30" s="15"/>
      <c r="GS30" s="15"/>
      <c r="GT30" s="15"/>
      <c r="GU30" s="15"/>
      <c r="GV30" s="15"/>
      <c r="GW30" s="15"/>
      <c r="GX30" s="15"/>
      <c r="GY30" s="15"/>
      <c r="GZ30" s="15"/>
      <c r="HA30" s="15"/>
      <c r="HB30" s="15"/>
      <c r="HC30" s="15"/>
      <c r="HD30" s="15"/>
      <c r="HE30" s="15"/>
      <c r="HF30" s="15"/>
      <c r="HG30" s="15"/>
      <c r="HH30" s="15"/>
      <c r="HI30" s="15"/>
      <c r="HJ30" s="15"/>
      <c r="HK30" s="15"/>
      <c r="HL30" s="15"/>
      <c r="HM30" s="15"/>
      <c r="HN30" s="15"/>
      <c r="HO30" s="15"/>
      <c r="HP30" s="15"/>
    </row>
    <row r="31" spans="1:224" s="23" customFormat="1" ht="15" customHeight="1" x14ac:dyDescent="0.25">
      <c r="A31" s="10">
        <f t="shared" si="1"/>
        <v>30</v>
      </c>
      <c r="B31" s="10" t="s">
        <v>512</v>
      </c>
      <c r="C31" s="19"/>
      <c r="D31" s="11"/>
      <c r="E31" s="11"/>
      <c r="F31" s="20"/>
      <c r="G31" s="20"/>
      <c r="H31" s="11"/>
      <c r="I31" s="21"/>
      <c r="J31" s="19"/>
      <c r="K31" s="11"/>
      <c r="L31" s="12"/>
      <c r="M31" s="20"/>
      <c r="N31" s="20"/>
      <c r="O31" s="20"/>
      <c r="P31" s="20"/>
      <c r="Q31" s="21"/>
      <c r="R31" s="12"/>
      <c r="S31" s="20"/>
      <c r="T31" s="19"/>
      <c r="U31" s="20"/>
      <c r="V31" s="21"/>
      <c r="W31" s="19"/>
      <c r="X31" s="21"/>
      <c r="Y31" s="21"/>
      <c r="Z31" s="21"/>
      <c r="AA31" s="19"/>
      <c r="AB31" s="21"/>
      <c r="AC31" s="21"/>
      <c r="AD31" s="11"/>
      <c r="AE31" s="21"/>
      <c r="AF31" s="19"/>
      <c r="AG31" s="19"/>
      <c r="AH31" s="20"/>
      <c r="AI31" s="21"/>
      <c r="AJ31" s="21"/>
      <c r="AK31" s="21"/>
      <c r="AL31" s="21"/>
      <c r="AM31" s="19"/>
      <c r="AN31" s="21"/>
      <c r="AO31" s="21"/>
      <c r="AP31" s="19"/>
      <c r="AQ31" s="21"/>
      <c r="AR31" s="21"/>
      <c r="AS31" s="11"/>
      <c r="AT31" s="12"/>
      <c r="AU31" s="12"/>
      <c r="AV31" s="12"/>
      <c r="AW31" s="11"/>
      <c r="AX31" s="21"/>
      <c r="AY31" s="11"/>
      <c r="AZ31" s="11"/>
      <c r="BA31" s="21"/>
      <c r="BB31" s="21"/>
      <c r="BC31" s="11"/>
      <c r="BD31" s="11"/>
      <c r="BE31" s="21"/>
      <c r="BF31" s="21"/>
      <c r="BG31" s="21"/>
      <c r="BH31" s="19"/>
      <c r="BI31" s="19"/>
      <c r="BJ31" s="21"/>
      <c r="BK31" s="11"/>
      <c r="BL31" s="19"/>
      <c r="BM31" s="12"/>
      <c r="BN31" s="11"/>
      <c r="BO31" s="21"/>
      <c r="BP31" s="19"/>
      <c r="BQ31" s="19"/>
      <c r="BR31" s="19"/>
      <c r="BS31" s="21"/>
      <c r="BT31" s="19"/>
      <c r="BU31" s="19"/>
      <c r="BV31" s="19"/>
      <c r="BW31" s="15"/>
      <c r="BX31" s="15"/>
      <c r="BY31" s="15"/>
      <c r="BZ31" s="15"/>
      <c r="CA31" s="15"/>
      <c r="CB31" s="15"/>
      <c r="CC31" s="15"/>
      <c r="CD31" s="15"/>
      <c r="CE31" s="15"/>
      <c r="CF31" s="15"/>
      <c r="CG31" s="15"/>
      <c r="CH31" s="15"/>
      <c r="CI31" s="15"/>
      <c r="CJ31" s="15"/>
      <c r="CK31" s="15"/>
      <c r="CL31" s="15"/>
      <c r="CM31" s="15"/>
      <c r="CN31" s="15"/>
      <c r="CO31" s="15"/>
      <c r="CP31" s="15"/>
      <c r="CQ31" s="15"/>
      <c r="CR31" s="15"/>
      <c r="CS31" s="15"/>
      <c r="CT31" s="15"/>
      <c r="CU31" s="15"/>
      <c r="CV31" s="15"/>
      <c r="CW31" s="15"/>
      <c r="CX31" s="15"/>
      <c r="CY31" s="15"/>
      <c r="CZ31" s="15"/>
      <c r="DA31" s="15"/>
      <c r="DB31" s="15"/>
      <c r="DC31" s="15"/>
      <c r="DD31" s="15"/>
      <c r="DE31" s="15"/>
      <c r="DF31" s="15"/>
      <c r="DG31" s="15"/>
      <c r="DH31" s="15"/>
      <c r="DI31" s="15"/>
      <c r="DJ31" s="15"/>
      <c r="DK31" s="15"/>
      <c r="DL31" s="15"/>
      <c r="DM31" s="15"/>
      <c r="DN31" s="15"/>
      <c r="DO31" s="15"/>
      <c r="DP31" s="15"/>
      <c r="DQ31" s="15"/>
      <c r="DR31" s="15"/>
      <c r="DS31" s="15"/>
      <c r="DT31" s="15"/>
      <c r="DU31" s="15"/>
      <c r="DV31" s="15"/>
      <c r="DW31" s="15"/>
      <c r="DX31" s="15"/>
      <c r="DY31" s="15"/>
      <c r="DZ31" s="15"/>
      <c r="EA31" s="15"/>
      <c r="EB31" s="15"/>
      <c r="EC31" s="15"/>
      <c r="ED31" s="15"/>
      <c r="EE31" s="15"/>
      <c r="EF31" s="15"/>
      <c r="EG31" s="15"/>
      <c r="EH31" s="15"/>
      <c r="EI31" s="15"/>
      <c r="EJ31" s="15"/>
      <c r="EK31" s="15"/>
      <c r="EL31" s="15"/>
      <c r="EM31" s="15"/>
      <c r="EN31" s="15"/>
      <c r="EO31" s="15"/>
      <c r="EP31" s="15"/>
      <c r="EQ31" s="15"/>
      <c r="ER31" s="15"/>
      <c r="ES31" s="15"/>
      <c r="ET31" s="15"/>
      <c r="EU31" s="15"/>
      <c r="EV31" s="15"/>
      <c r="EW31" s="15"/>
      <c r="EX31" s="15"/>
      <c r="EY31" s="15"/>
      <c r="EZ31" s="15"/>
      <c r="FA31" s="15"/>
      <c r="FB31" s="15"/>
      <c r="FC31" s="15"/>
      <c r="FD31" s="15"/>
      <c r="FE31" s="15"/>
      <c r="FF31" s="15"/>
      <c r="FG31" s="15"/>
      <c r="FH31" s="15"/>
      <c r="FI31" s="15"/>
      <c r="FJ31" s="15"/>
      <c r="FK31" s="15"/>
      <c r="FL31" s="15"/>
      <c r="FM31" s="15"/>
      <c r="FN31" s="15"/>
      <c r="FO31" s="15"/>
      <c r="FP31" s="15"/>
      <c r="FQ31" s="15"/>
      <c r="FR31" s="15"/>
      <c r="FS31" s="15"/>
      <c r="FT31" s="15"/>
      <c r="FU31" s="15"/>
      <c r="FV31" s="15"/>
      <c r="FW31" s="15"/>
      <c r="FX31" s="15"/>
      <c r="FY31" s="15"/>
      <c r="FZ31" s="15"/>
      <c r="GA31" s="15"/>
      <c r="GB31" s="15"/>
      <c r="GC31" s="15"/>
      <c r="GD31" s="15"/>
      <c r="GE31" s="15"/>
      <c r="GF31" s="15"/>
      <c r="GG31" s="15"/>
      <c r="GH31" s="15"/>
      <c r="GI31" s="15"/>
      <c r="GJ31" s="15"/>
      <c r="GK31" s="15"/>
      <c r="GL31" s="15"/>
      <c r="GM31" s="15"/>
      <c r="GN31" s="15"/>
      <c r="GO31" s="15"/>
      <c r="GP31" s="15"/>
      <c r="GQ31" s="15"/>
      <c r="GR31" s="15"/>
      <c r="GS31" s="15"/>
      <c r="GT31" s="15"/>
      <c r="GU31" s="15"/>
      <c r="GV31" s="15"/>
      <c r="GW31" s="15"/>
      <c r="GX31" s="15"/>
      <c r="GY31" s="15"/>
      <c r="GZ31" s="15"/>
      <c r="HA31" s="15"/>
      <c r="HB31" s="15"/>
      <c r="HC31" s="15"/>
      <c r="HD31" s="15"/>
      <c r="HE31" s="15"/>
      <c r="HF31" s="15"/>
      <c r="HG31" s="15"/>
      <c r="HH31" s="15"/>
      <c r="HI31" s="15"/>
      <c r="HJ31" s="15"/>
      <c r="HK31" s="15"/>
      <c r="HL31" s="15"/>
      <c r="HM31" s="15"/>
      <c r="HN31" s="15"/>
      <c r="HO31" s="15"/>
      <c r="HP31" s="15"/>
    </row>
    <row r="32" spans="1:224" s="23" customFormat="1" ht="15" customHeight="1" x14ac:dyDescent="0.25">
      <c r="A32" s="49">
        <f t="shared" si="1"/>
        <v>31</v>
      </c>
      <c r="B32" s="49" t="s">
        <v>634</v>
      </c>
      <c r="C32" s="50"/>
      <c r="D32" s="51"/>
      <c r="E32" s="51"/>
      <c r="F32" s="52"/>
      <c r="G32" s="52"/>
      <c r="H32" s="52"/>
      <c r="I32" s="52"/>
      <c r="J32" s="52"/>
      <c r="K32" s="52"/>
      <c r="L32" s="52"/>
      <c r="M32" s="53"/>
      <c r="N32" s="53"/>
      <c r="O32" s="53"/>
      <c r="P32" s="53"/>
      <c r="Q32" s="53"/>
      <c r="R32" s="53"/>
      <c r="S32" s="53"/>
      <c r="T32" s="53"/>
      <c r="U32" s="53"/>
      <c r="V32" s="53"/>
      <c r="W32" s="53"/>
      <c r="X32" s="53"/>
      <c r="Y32" s="53"/>
      <c r="Z32" s="53"/>
      <c r="AA32" s="53"/>
      <c r="AB32" s="53"/>
      <c r="AC32" s="53"/>
      <c r="AD32" s="53"/>
      <c r="AE32" s="53"/>
      <c r="AF32" s="53"/>
      <c r="AG32" s="53"/>
      <c r="AH32" s="53"/>
      <c r="AI32" s="53"/>
      <c r="AJ32" s="54"/>
      <c r="AK32" s="53"/>
      <c r="AL32" s="53"/>
      <c r="AM32" s="53"/>
      <c r="AN32" s="53"/>
      <c r="AO32" s="53"/>
      <c r="AP32" s="54"/>
      <c r="AQ32" s="54"/>
      <c r="AR32" s="53"/>
      <c r="AS32" s="53"/>
      <c r="AT32" s="53"/>
      <c r="AU32" s="53"/>
      <c r="AV32" s="53"/>
      <c r="AW32" s="53"/>
      <c r="AX32" s="54"/>
      <c r="AY32" s="53"/>
      <c r="AZ32" s="53"/>
      <c r="BA32" s="53"/>
      <c r="BB32" s="54"/>
      <c r="BC32" s="53"/>
      <c r="BD32" s="53"/>
      <c r="BE32" s="53"/>
      <c r="BF32" s="53"/>
      <c r="BG32" s="53"/>
      <c r="BH32" s="53"/>
      <c r="BI32" s="54"/>
      <c r="BJ32" s="54"/>
      <c r="BK32" s="54"/>
      <c r="BL32" s="54"/>
      <c r="BM32" s="54"/>
      <c r="BN32" s="54"/>
      <c r="BO32" s="54"/>
      <c r="BP32" s="54"/>
      <c r="BQ32" s="54"/>
      <c r="BR32" s="54"/>
      <c r="BS32" s="54"/>
      <c r="BT32" s="54"/>
      <c r="BU32" s="54"/>
      <c r="BV32" s="54"/>
      <c r="BW32" s="15"/>
      <c r="BX32" s="15"/>
      <c r="BY32" s="15"/>
      <c r="BZ32" s="15"/>
      <c r="CA32" s="15"/>
      <c r="CB32" s="15"/>
      <c r="CC32" s="15"/>
      <c r="CD32" s="15"/>
      <c r="CE32" s="15"/>
      <c r="CF32" s="15"/>
      <c r="CG32" s="15"/>
      <c r="CH32" s="15"/>
      <c r="CI32" s="15"/>
      <c r="CJ32" s="15"/>
      <c r="CK32" s="15"/>
      <c r="CL32" s="15"/>
      <c r="CM32" s="15"/>
      <c r="CN32" s="15"/>
      <c r="CO32" s="15"/>
      <c r="CP32" s="15"/>
      <c r="CQ32" s="15"/>
      <c r="CR32" s="15"/>
      <c r="CS32" s="15"/>
      <c r="CT32" s="15"/>
      <c r="CU32" s="15"/>
      <c r="CV32" s="15"/>
      <c r="CW32" s="15"/>
      <c r="CX32" s="15"/>
      <c r="CY32" s="15"/>
      <c r="CZ32" s="15"/>
      <c r="DA32" s="15"/>
      <c r="DB32" s="15"/>
      <c r="DC32" s="15"/>
      <c r="DD32" s="15"/>
      <c r="DE32" s="15"/>
      <c r="DF32" s="15"/>
      <c r="DG32" s="15"/>
      <c r="DH32" s="15"/>
      <c r="DI32" s="15"/>
      <c r="DJ32" s="15"/>
      <c r="DK32" s="15"/>
      <c r="DL32" s="15"/>
      <c r="DM32" s="15"/>
      <c r="DN32" s="15"/>
      <c r="DO32" s="15"/>
      <c r="DP32" s="15"/>
      <c r="DQ32" s="15"/>
      <c r="DR32" s="15"/>
      <c r="DS32" s="15"/>
      <c r="DT32" s="15"/>
      <c r="DU32" s="15"/>
      <c r="DV32" s="15"/>
      <c r="DW32" s="15"/>
      <c r="DX32" s="15"/>
      <c r="DY32" s="15"/>
      <c r="DZ32" s="15"/>
      <c r="EA32" s="15"/>
      <c r="EB32" s="15"/>
      <c r="EC32" s="15"/>
      <c r="ED32" s="15"/>
      <c r="EE32" s="15"/>
      <c r="EF32" s="15"/>
      <c r="EG32" s="15"/>
      <c r="EH32" s="15"/>
      <c r="EI32" s="15"/>
      <c r="EJ32" s="15"/>
      <c r="EK32" s="15"/>
      <c r="EL32" s="15"/>
      <c r="EM32" s="15"/>
      <c r="EN32" s="15"/>
      <c r="EO32" s="15"/>
      <c r="EP32" s="15"/>
      <c r="EQ32" s="15"/>
      <c r="ER32" s="15"/>
      <c r="ES32" s="15"/>
      <c r="ET32" s="15"/>
      <c r="EU32" s="15"/>
      <c r="EV32" s="15"/>
      <c r="EW32" s="15"/>
      <c r="EX32" s="15"/>
      <c r="EY32" s="15"/>
      <c r="EZ32" s="15"/>
      <c r="FA32" s="15"/>
      <c r="FB32" s="15"/>
      <c r="FC32" s="15"/>
      <c r="FD32" s="15"/>
      <c r="FE32" s="15"/>
      <c r="FF32" s="15"/>
      <c r="FG32" s="15"/>
      <c r="FH32" s="15"/>
      <c r="FI32" s="15"/>
      <c r="FJ32" s="15"/>
      <c r="FK32" s="15"/>
      <c r="FL32" s="15"/>
      <c r="FM32" s="15"/>
      <c r="FN32" s="15"/>
      <c r="FO32" s="15"/>
      <c r="FP32" s="15"/>
      <c r="FQ32" s="15"/>
      <c r="FR32" s="15"/>
      <c r="FS32" s="15"/>
      <c r="FT32" s="15"/>
      <c r="FU32" s="15"/>
      <c r="FV32" s="15"/>
      <c r="FW32" s="15"/>
      <c r="FX32" s="15"/>
      <c r="FY32" s="15"/>
      <c r="FZ32" s="15"/>
      <c r="GA32" s="15"/>
      <c r="GB32" s="15"/>
      <c r="GC32" s="15"/>
      <c r="GD32" s="15"/>
      <c r="GE32" s="15"/>
      <c r="GF32" s="15"/>
      <c r="GG32" s="15"/>
      <c r="GH32" s="15"/>
      <c r="GI32" s="15"/>
      <c r="GJ32" s="15"/>
      <c r="GK32" s="15"/>
      <c r="GL32" s="15"/>
      <c r="GM32" s="15"/>
      <c r="GN32" s="15"/>
      <c r="GO32" s="15"/>
      <c r="GP32" s="15"/>
      <c r="GQ32" s="15"/>
      <c r="GR32" s="15"/>
      <c r="GS32" s="15"/>
      <c r="GT32" s="15"/>
      <c r="GU32" s="15"/>
      <c r="GV32" s="15"/>
      <c r="GW32" s="15"/>
      <c r="GX32" s="15"/>
      <c r="GY32" s="15"/>
      <c r="GZ32" s="15"/>
      <c r="HA32" s="15"/>
      <c r="HB32" s="15"/>
      <c r="HC32" s="15"/>
      <c r="HD32" s="15"/>
      <c r="HE32" s="15"/>
      <c r="HF32" s="15"/>
      <c r="HG32" s="15"/>
      <c r="HH32" s="15"/>
      <c r="HI32" s="15"/>
      <c r="HJ32" s="15"/>
      <c r="HK32" s="15"/>
      <c r="HL32" s="15"/>
      <c r="HM32" s="15"/>
      <c r="HN32" s="15"/>
      <c r="HO32" s="15"/>
      <c r="HP32" s="15"/>
    </row>
    <row r="33" spans="1:74" s="15" customFormat="1" ht="15" customHeight="1" x14ac:dyDescent="0.25">
      <c r="A33" s="10">
        <f t="shared" si="1"/>
        <v>32</v>
      </c>
      <c r="B33" s="10" t="s">
        <v>852</v>
      </c>
      <c r="C33" s="56"/>
      <c r="D33" s="56"/>
      <c r="E33" s="56"/>
      <c r="F33" s="57"/>
      <c r="G33" s="44"/>
      <c r="H33" s="57"/>
      <c r="I33" s="57"/>
      <c r="J33" s="57"/>
      <c r="K33" s="57"/>
      <c r="L33" s="44"/>
      <c r="M33" s="43"/>
      <c r="N33" s="58"/>
      <c r="O33" s="58"/>
      <c r="P33" s="58"/>
      <c r="Q33" s="43"/>
      <c r="R33" s="58"/>
      <c r="S33" s="43"/>
      <c r="T33" s="43"/>
      <c r="U33" s="58"/>
      <c r="V33" s="58"/>
      <c r="W33" s="58"/>
      <c r="X33" s="43"/>
      <c r="Y33" s="58"/>
      <c r="Z33" s="58"/>
      <c r="AA33" s="43"/>
      <c r="AB33" s="58"/>
      <c r="AC33" s="58"/>
      <c r="AD33" s="58"/>
      <c r="AE33" s="58"/>
      <c r="AF33" s="58"/>
      <c r="AG33" s="43"/>
      <c r="AH33" s="58"/>
      <c r="AI33" s="58"/>
      <c r="AJ33" s="58"/>
      <c r="AK33" s="58"/>
      <c r="AL33" s="58"/>
      <c r="AM33" s="58"/>
      <c r="AN33" s="43"/>
      <c r="AO33" s="58"/>
      <c r="AP33" s="43"/>
      <c r="AQ33" s="58"/>
      <c r="AR33" s="58"/>
      <c r="AS33" s="58"/>
      <c r="AT33" s="58"/>
      <c r="AU33" s="58"/>
      <c r="AV33" s="58"/>
      <c r="AW33" s="58"/>
      <c r="AX33" s="58"/>
      <c r="AY33" s="58"/>
      <c r="AZ33" s="58"/>
      <c r="BA33" s="58"/>
      <c r="BB33" s="43"/>
      <c r="BC33" s="43"/>
      <c r="BD33" s="58"/>
      <c r="BE33" s="43"/>
      <c r="BF33" s="58"/>
      <c r="BG33" s="43"/>
      <c r="BH33" s="58"/>
      <c r="BI33" s="58"/>
      <c r="BJ33" s="58"/>
      <c r="BK33" s="58"/>
      <c r="BL33" s="58"/>
      <c r="BM33" s="58"/>
      <c r="BN33" s="58"/>
      <c r="BO33" s="58"/>
      <c r="BP33" s="43"/>
      <c r="BQ33" s="43"/>
      <c r="BR33" s="43"/>
      <c r="BS33" s="43"/>
      <c r="BT33" s="43"/>
      <c r="BU33" s="58"/>
      <c r="BV33" s="58"/>
    </row>
    <row r="34" spans="1:74" x14ac:dyDescent="0.25">
      <c r="A34" s="124" t="s">
        <v>338</v>
      </c>
      <c r="B34" s="125"/>
      <c r="C34" s="55">
        <f>colorfunction($A37,C$2:C32,FALSE)</f>
        <v>8</v>
      </c>
      <c r="D34" s="55">
        <f>colorfunction($A37,D$2:D32,FALSE)</f>
        <v>8</v>
      </c>
      <c r="E34" s="55">
        <f>colorfunction($A37,E$2:E32,FALSE)</f>
        <v>6</v>
      </c>
      <c r="F34" s="55">
        <f>colorfunction($A37,F$2:F32,FALSE)</f>
        <v>18</v>
      </c>
      <c r="G34" s="55">
        <f>colorfunction($A37,G$2:G32,FALSE)</f>
        <v>14</v>
      </c>
      <c r="H34" s="55">
        <f>colorfunction($A37,H$2:H32,FALSE)</f>
        <v>12</v>
      </c>
      <c r="I34" s="55">
        <f>colorfunction($A37,I$2:I32,FALSE)</f>
        <v>13</v>
      </c>
      <c r="J34" s="55">
        <f>colorfunction($A37,J$2:J32,FALSE)</f>
        <v>16</v>
      </c>
      <c r="K34" s="55">
        <f>colorfunction($A37,K$2:K32,FALSE)</f>
        <v>15</v>
      </c>
      <c r="L34" s="55">
        <f>colorfunction($A37,L$2:L32,FALSE)</f>
        <v>14</v>
      </c>
      <c r="M34" s="55">
        <f>colorfunction($A37,M$2:M32,FALSE)</f>
        <v>16</v>
      </c>
      <c r="N34" s="55">
        <f>colorfunction($A37,N$2:N32,FALSE)</f>
        <v>16</v>
      </c>
      <c r="O34" s="55">
        <f>colorfunction($A37,O$2:O32,FALSE)</f>
        <v>13</v>
      </c>
      <c r="P34" s="55">
        <f>colorfunction($A37,P$2:P32,FALSE)</f>
        <v>8</v>
      </c>
      <c r="Q34" s="55">
        <f>colorfunction($A37,Q$2:Q32,FALSE)</f>
        <v>10</v>
      </c>
      <c r="R34" s="55">
        <f>colorfunction($A37,R$2:R32,FALSE)</f>
        <v>17</v>
      </c>
      <c r="S34" s="55">
        <f>colorfunction($A37,S$2:S32,FALSE)</f>
        <v>15</v>
      </c>
      <c r="T34" s="55">
        <f>colorfunction($A37,T$2:T32,FALSE)</f>
        <v>12</v>
      </c>
      <c r="U34" s="55">
        <f>colorfunction($A37,U$2:U32,FALSE)</f>
        <v>21</v>
      </c>
      <c r="V34" s="55">
        <f>colorfunction($A37,V$2:V32,FALSE)</f>
        <v>10</v>
      </c>
      <c r="W34" s="55">
        <f>colorfunction($A37,W$2:W32,FALSE)</f>
        <v>12</v>
      </c>
      <c r="X34" s="55">
        <f>colorfunction($A37,X$2:X32,FALSE)</f>
        <v>10</v>
      </c>
      <c r="Y34" s="55">
        <f>colorfunction($A37,Y$2:Y32,FALSE)</f>
        <v>8</v>
      </c>
      <c r="Z34" s="55">
        <f>colorfunction($A37,Z$2:Z32,FALSE)</f>
        <v>11</v>
      </c>
      <c r="AA34" s="55">
        <f>colorfunction($A37,AA$2:AA32,FALSE)</f>
        <v>14</v>
      </c>
      <c r="AB34" s="55">
        <f>colorfunction($A37,AB$2:AB32,FALSE)</f>
        <v>9</v>
      </c>
      <c r="AC34" s="55">
        <f>colorfunction($A37,AC$2:AC32,FALSE)</f>
        <v>12</v>
      </c>
      <c r="AD34" s="55">
        <f>colorfunction($A37,AD$2:AD32,FALSE)</f>
        <v>8</v>
      </c>
      <c r="AE34" s="55">
        <f>colorfunction($A37,AE$2:AE32,FALSE)</f>
        <v>9</v>
      </c>
      <c r="AF34" s="55">
        <f>colorfunction($A37,AF$2:AF32,FALSE)</f>
        <v>15</v>
      </c>
      <c r="AG34" s="55">
        <f>colorfunction($A37,AG$2:AG32,FALSE)</f>
        <v>17</v>
      </c>
      <c r="AH34" s="55">
        <f>colorfunction($A37,AH$2:AH32,FALSE)</f>
        <v>17</v>
      </c>
      <c r="AI34" s="55">
        <f>colorfunction($A37,AI$2:AI32,FALSE)</f>
        <v>3</v>
      </c>
      <c r="AJ34" s="55">
        <f>colorfunction($A37,AJ$2:AJ32,FALSE)</f>
        <v>15</v>
      </c>
      <c r="AK34" s="55">
        <f>colorfunction($A37,AK$2:AK32,FALSE)</f>
        <v>11</v>
      </c>
      <c r="AL34" s="55">
        <f>colorfunction($A37,AL$2:AL32,FALSE)</f>
        <v>11</v>
      </c>
      <c r="AM34" s="55">
        <f>colorfunction($A37,AM$2:AM32,FALSE)</f>
        <v>10</v>
      </c>
      <c r="AN34" s="55">
        <f>colorfunction($A37,AN$2:AN32,FALSE)</f>
        <v>5</v>
      </c>
      <c r="AO34" s="55">
        <f>colorfunction($A37,AO$2:AO32,FALSE)</f>
        <v>6</v>
      </c>
      <c r="AP34" s="55">
        <f>colorfunction($A37,AP$2:AP32,FALSE)</f>
        <v>24</v>
      </c>
      <c r="AQ34" s="55">
        <f>colorfunction($A37,AQ$2:AQ32,FALSE)</f>
        <v>13</v>
      </c>
      <c r="AR34" s="55">
        <f>colorfunction($A37,AR$2:AR32,FALSE)</f>
        <v>8</v>
      </c>
      <c r="AS34" s="55">
        <f>colorfunction($A37,AS$2:AS32,FALSE)</f>
        <v>7</v>
      </c>
      <c r="AT34" s="55">
        <f>colorfunction($A37,AT$2:AT32,FALSE)</f>
        <v>11</v>
      </c>
      <c r="AU34" s="55">
        <f>colorfunction($A37,AU$2:AU32,FALSE)</f>
        <v>14</v>
      </c>
      <c r="AV34" s="55">
        <f>colorfunction($A37,AV$2:AV32,FALSE)</f>
        <v>13</v>
      </c>
      <c r="AW34" s="55">
        <f>colorfunction($A37,AW$2:AW32,FALSE)</f>
        <v>11</v>
      </c>
      <c r="AX34" s="55">
        <f>colorfunction($A37,AX$2:AX32,FALSE)</f>
        <v>8</v>
      </c>
      <c r="AY34" s="55">
        <f>colorfunction($A37,AY$2:AY32,FALSE)</f>
        <v>9</v>
      </c>
      <c r="AZ34" s="55">
        <f>colorfunction($A37,AZ$2:AZ32,FALSE)</f>
        <v>9</v>
      </c>
      <c r="BA34" s="55">
        <f>colorfunction($A37,BA$2:BA32,FALSE)</f>
        <v>4</v>
      </c>
      <c r="BB34" s="55">
        <f>colorfunction($A37,BB$2:BB32,FALSE)</f>
        <v>19</v>
      </c>
      <c r="BC34" s="55">
        <f>colorfunction($A37,BC$2:BC32,FALSE)</f>
        <v>7</v>
      </c>
      <c r="BD34" s="55">
        <f>colorfunction($A37,BD$2:BD32,FALSE)</f>
        <v>6</v>
      </c>
      <c r="BE34" s="55">
        <f>colorfunction($A37,BE$2:BE32,FALSE)</f>
        <v>13</v>
      </c>
      <c r="BF34" s="55">
        <f>colorfunction($A37,BF$2:BF32,FALSE)</f>
        <v>8</v>
      </c>
      <c r="BG34" s="55">
        <f>colorfunction($A37,BG$2:BG32,FALSE)</f>
        <v>12</v>
      </c>
      <c r="BH34" s="55">
        <f>colorfunction($A37,BH$2:BH32,FALSE)</f>
        <v>14</v>
      </c>
      <c r="BI34" s="55">
        <f>colorfunction($A37,BI$2:BI32,FALSE)</f>
        <v>11</v>
      </c>
      <c r="BJ34" s="55">
        <f>colorfunction($A37,BJ$2:BJ32,FALSE)</f>
        <v>12</v>
      </c>
      <c r="BK34" s="55">
        <f>colorfunction($A37,BK$2:BK32,FALSE)</f>
        <v>8</v>
      </c>
      <c r="BL34" s="55">
        <f>colorfunction($A37,BL$2:BL32,FALSE)</f>
        <v>17</v>
      </c>
      <c r="BM34" s="55">
        <f>colorfunction($A37,BM$2:BM32,FALSE)</f>
        <v>13</v>
      </c>
      <c r="BN34" s="55">
        <f>colorfunction($A37,BN$2:BN32,FALSE)</f>
        <v>6</v>
      </c>
      <c r="BO34" s="55">
        <f>colorfunction($A37,BO$2:BO32,FALSE)</f>
        <v>9</v>
      </c>
      <c r="BP34" s="55">
        <f>colorfunction($A37,BP$2:BP32,FALSE)</f>
        <v>22</v>
      </c>
      <c r="BQ34" s="55">
        <f>colorfunction($A37,BQ$2:BQ32,FALSE)</f>
        <v>18</v>
      </c>
      <c r="BR34" s="55">
        <f>colorfunction($A37,BR$2:BR32,FALSE)</f>
        <v>16</v>
      </c>
      <c r="BS34" s="55">
        <f>colorfunction($A37,BS$2:BS32,FALSE)</f>
        <v>15</v>
      </c>
      <c r="BT34" s="55">
        <f>colorfunction($A37,BT$2:BT32,FALSE)</f>
        <v>20</v>
      </c>
      <c r="BU34" s="55">
        <f>colorfunction($A37,BU$2:BU32,FALSE)</f>
        <v>13</v>
      </c>
      <c r="BV34" s="55">
        <f>colorfunction($A37,BV$2:BV32,FALSE)</f>
        <v>19</v>
      </c>
    </row>
    <row r="35" spans="1:74" x14ac:dyDescent="0.25">
      <c r="AV35" s="23"/>
    </row>
    <row r="36" spans="1:74" x14ac:dyDescent="0.25">
      <c r="A36" s="41" t="s">
        <v>92</v>
      </c>
      <c r="B36" s="4"/>
      <c r="C36" s="4"/>
      <c r="D36" s="4"/>
      <c r="E36" s="4"/>
      <c r="F36" s="4"/>
      <c r="G36" s="4"/>
      <c r="H36" s="4"/>
      <c r="I36" s="4"/>
      <c r="J36" s="4"/>
      <c r="K36" s="4"/>
      <c r="L36" s="4"/>
      <c r="M36" s="4"/>
      <c r="N36" s="4"/>
    </row>
    <row r="37" spans="1:74" x14ac:dyDescent="0.25">
      <c r="A37" s="123" t="s">
        <v>337</v>
      </c>
      <c r="B37" s="123"/>
      <c r="C37" s="4"/>
      <c r="D37" s="4"/>
      <c r="E37" s="4"/>
      <c r="F37" s="4"/>
      <c r="G37" s="4"/>
      <c r="H37" s="4"/>
      <c r="I37" s="4"/>
      <c r="J37" s="4"/>
      <c r="K37" s="4"/>
      <c r="L37" s="4"/>
      <c r="M37" s="4"/>
      <c r="N37" s="4"/>
    </row>
    <row r="38" spans="1:74" x14ac:dyDescent="0.25">
      <c r="A38" s="122" t="s">
        <v>339</v>
      </c>
      <c r="B38" s="122"/>
      <c r="C38" s="4" t="s">
        <v>340</v>
      </c>
      <c r="D38" s="4"/>
      <c r="E38" s="4"/>
      <c r="F38" s="4"/>
      <c r="G38" s="4"/>
      <c r="H38" s="4"/>
      <c r="I38" s="4"/>
      <c r="J38" s="4"/>
      <c r="K38" s="4"/>
      <c r="L38" s="4"/>
      <c r="M38" s="4"/>
      <c r="N38" s="4"/>
    </row>
  </sheetData>
  <mergeCells count="3">
    <mergeCell ref="A38:B38"/>
    <mergeCell ref="A37:B37"/>
    <mergeCell ref="A34:B34"/>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141"/>
  <sheetViews>
    <sheetView workbookViewId="0">
      <selection sqref="A1:F1"/>
    </sheetView>
  </sheetViews>
  <sheetFormatPr defaultColWidth="20.7109375" defaultRowHeight="15" x14ac:dyDescent="0.25"/>
  <cols>
    <col min="1" max="1" width="50.7109375" style="1" customWidth="1"/>
    <col min="2" max="2" width="10.7109375" style="1" customWidth="1"/>
    <col min="3" max="3" width="50.7109375" style="1" customWidth="1"/>
    <col min="4" max="4" width="10.7109375" style="1" customWidth="1"/>
    <col min="5" max="5" width="50.7109375" style="1" customWidth="1"/>
    <col min="6" max="6" width="10.7109375" style="1" customWidth="1"/>
    <col min="7" max="16384" width="20.7109375" style="1"/>
  </cols>
  <sheetData>
    <row r="1" spans="1:11" x14ac:dyDescent="0.25">
      <c r="A1" s="130" t="s">
        <v>496</v>
      </c>
      <c r="B1" s="130"/>
      <c r="C1" s="130"/>
      <c r="D1" s="130"/>
      <c r="E1" s="130"/>
      <c r="F1" s="130"/>
    </row>
    <row r="3" spans="1:11" x14ac:dyDescent="0.25">
      <c r="A3" s="129" t="s">
        <v>21</v>
      </c>
      <c r="B3" s="129"/>
      <c r="C3" s="129"/>
      <c r="D3" s="129"/>
      <c r="E3" s="129"/>
      <c r="F3" s="129"/>
      <c r="G3" s="26"/>
      <c r="H3" s="26"/>
      <c r="I3" s="26"/>
      <c r="J3" s="25"/>
      <c r="K3" s="25"/>
    </row>
    <row r="4" spans="1:11" x14ac:dyDescent="0.25">
      <c r="B4" s="27"/>
      <c r="C4" s="27"/>
      <c r="D4" s="27"/>
      <c r="E4" s="27"/>
      <c r="F4" s="27"/>
      <c r="G4" s="27"/>
      <c r="H4" s="27"/>
      <c r="I4" s="27"/>
      <c r="J4" s="24"/>
      <c r="K4" s="24"/>
    </row>
    <row r="5" spans="1:11" x14ac:dyDescent="0.25">
      <c r="A5" s="127" t="s">
        <v>15</v>
      </c>
      <c r="B5" s="127"/>
      <c r="C5" s="127"/>
      <c r="D5" s="127"/>
      <c r="E5" s="127"/>
      <c r="F5" s="127"/>
    </row>
    <row r="6" spans="1:11" x14ac:dyDescent="0.25">
      <c r="A6" s="126" t="s">
        <v>341</v>
      </c>
      <c r="B6" s="126"/>
      <c r="C6" s="126" t="s">
        <v>342</v>
      </c>
      <c r="D6" s="126"/>
      <c r="E6" s="126" t="s">
        <v>343</v>
      </c>
      <c r="F6" s="126"/>
    </row>
    <row r="7" spans="1:11" x14ac:dyDescent="0.25">
      <c r="A7" s="1" t="s">
        <v>345</v>
      </c>
      <c r="B7" s="29">
        <v>4</v>
      </c>
      <c r="C7" s="1" t="s">
        <v>350</v>
      </c>
      <c r="D7" s="29">
        <v>2</v>
      </c>
      <c r="E7" s="1" t="s">
        <v>355</v>
      </c>
      <c r="F7" s="29">
        <v>12</v>
      </c>
    </row>
    <row r="8" spans="1:11" x14ac:dyDescent="0.25">
      <c r="A8" s="1" t="s">
        <v>984</v>
      </c>
      <c r="B8" s="28">
        <v>10</v>
      </c>
      <c r="C8" s="1" t="s">
        <v>353</v>
      </c>
      <c r="D8" s="28">
        <v>1</v>
      </c>
      <c r="E8" s="1" t="s">
        <v>935</v>
      </c>
      <c r="F8" s="28">
        <v>1</v>
      </c>
    </row>
    <row r="9" spans="1:11" x14ac:dyDescent="0.25">
      <c r="A9" s="1" t="s">
        <v>1029</v>
      </c>
      <c r="B9" s="28">
        <v>1</v>
      </c>
      <c r="C9" s="1" t="s">
        <v>351</v>
      </c>
      <c r="D9" s="28">
        <v>3</v>
      </c>
      <c r="E9" s="1" t="s">
        <v>970</v>
      </c>
      <c r="F9" s="28">
        <v>1</v>
      </c>
    </row>
    <row r="10" spans="1:11" x14ac:dyDescent="0.25">
      <c r="A10" s="1" t="s">
        <v>346</v>
      </c>
      <c r="B10" s="28">
        <v>3</v>
      </c>
      <c r="C10" s="1" t="s">
        <v>943</v>
      </c>
      <c r="D10" s="28">
        <v>2</v>
      </c>
      <c r="E10" s="1" t="s">
        <v>356</v>
      </c>
      <c r="F10" s="28">
        <v>2</v>
      </c>
    </row>
    <row r="11" spans="1:11" x14ac:dyDescent="0.25">
      <c r="A11" s="1" t="s">
        <v>347</v>
      </c>
      <c r="B11" s="28">
        <v>4</v>
      </c>
      <c r="C11" s="1" t="s">
        <v>352</v>
      </c>
      <c r="D11" s="28">
        <v>2</v>
      </c>
      <c r="E11" s="1" t="s">
        <v>927</v>
      </c>
      <c r="F11" s="28">
        <v>1</v>
      </c>
    </row>
    <row r="12" spans="1:11" x14ac:dyDescent="0.25">
      <c r="A12" s="1" t="s">
        <v>985</v>
      </c>
      <c r="B12" s="28">
        <v>1</v>
      </c>
      <c r="C12" s="1" t="s">
        <v>980</v>
      </c>
      <c r="D12" s="28">
        <v>1</v>
      </c>
      <c r="E12" s="2" t="s">
        <v>359</v>
      </c>
      <c r="F12" s="28">
        <v>1</v>
      </c>
    </row>
    <row r="13" spans="1:11" x14ac:dyDescent="0.25">
      <c r="A13" s="1" t="s">
        <v>349</v>
      </c>
      <c r="B13" s="28">
        <v>1</v>
      </c>
      <c r="C13" s="1" t="s">
        <v>1060</v>
      </c>
      <c r="D13" s="28">
        <v>2</v>
      </c>
      <c r="E13" s="2" t="s">
        <v>909</v>
      </c>
      <c r="F13" s="28">
        <v>1</v>
      </c>
    </row>
    <row r="14" spans="1:11" x14ac:dyDescent="0.25">
      <c r="A14" s="1" t="s">
        <v>983</v>
      </c>
      <c r="B14" s="28">
        <v>4</v>
      </c>
      <c r="C14" s="1" t="s">
        <v>354</v>
      </c>
      <c r="D14" s="28">
        <v>15</v>
      </c>
      <c r="E14" s="2" t="s">
        <v>954</v>
      </c>
      <c r="F14" s="28">
        <v>1</v>
      </c>
    </row>
    <row r="15" spans="1:11" ht="30" x14ac:dyDescent="0.25">
      <c r="A15" s="1" t="s">
        <v>982</v>
      </c>
      <c r="B15" s="28">
        <v>1</v>
      </c>
      <c r="C15" s="1" t="s">
        <v>926</v>
      </c>
      <c r="D15" s="28">
        <v>3</v>
      </c>
      <c r="E15" s="2" t="s">
        <v>986</v>
      </c>
      <c r="F15" s="28">
        <v>1</v>
      </c>
    </row>
    <row r="16" spans="1:11" x14ac:dyDescent="0.25">
      <c r="A16" s="1" t="s">
        <v>348</v>
      </c>
      <c r="B16" s="28">
        <v>3</v>
      </c>
      <c r="C16" s="1" t="s">
        <v>963</v>
      </c>
      <c r="D16" s="28">
        <v>1</v>
      </c>
      <c r="E16" s="1" t="s">
        <v>877</v>
      </c>
      <c r="F16" s="28">
        <v>2</v>
      </c>
    </row>
    <row r="17" spans="1:6" x14ac:dyDescent="0.25">
      <c r="A17" s="1" t="s">
        <v>907</v>
      </c>
      <c r="B17" s="28">
        <v>1</v>
      </c>
      <c r="D17" s="28"/>
      <c r="E17" s="1" t="s">
        <v>360</v>
      </c>
      <c r="F17" s="28">
        <v>1</v>
      </c>
    </row>
    <row r="18" spans="1:6" x14ac:dyDescent="0.25">
      <c r="B18" s="28"/>
      <c r="D18" s="28"/>
      <c r="E18" s="1" t="s">
        <v>357</v>
      </c>
      <c r="F18" s="28">
        <v>2</v>
      </c>
    </row>
    <row r="19" spans="1:6" x14ac:dyDescent="0.25">
      <c r="B19" s="28"/>
      <c r="D19" s="28"/>
      <c r="E19" s="1" t="s">
        <v>358</v>
      </c>
      <c r="F19" s="28">
        <v>1</v>
      </c>
    </row>
    <row r="20" spans="1:6" x14ac:dyDescent="0.25">
      <c r="B20" s="28"/>
      <c r="D20" s="28"/>
      <c r="E20" s="1" t="s">
        <v>908</v>
      </c>
      <c r="F20" s="28">
        <v>1</v>
      </c>
    </row>
    <row r="21" spans="1:6" x14ac:dyDescent="0.25">
      <c r="B21" s="28"/>
      <c r="D21" s="28"/>
      <c r="E21" s="1" t="s">
        <v>1013</v>
      </c>
      <c r="F21" s="28">
        <v>2</v>
      </c>
    </row>
    <row r="22" spans="1:6" ht="30" x14ac:dyDescent="0.25">
      <c r="A22" s="30"/>
      <c r="B22" s="31"/>
      <c r="C22" s="30"/>
      <c r="D22" s="31"/>
      <c r="E22" s="37" t="s">
        <v>1136</v>
      </c>
      <c r="F22" s="31">
        <v>1</v>
      </c>
    </row>
    <row r="24" spans="1:6" x14ac:dyDescent="0.25">
      <c r="A24" s="127" t="s">
        <v>17</v>
      </c>
      <c r="B24" s="127"/>
      <c r="C24" s="127"/>
      <c r="D24" s="127"/>
      <c r="E24" s="127"/>
      <c r="F24" s="127"/>
    </row>
    <row r="25" spans="1:6" x14ac:dyDescent="0.25">
      <c r="A25" s="126" t="s">
        <v>361</v>
      </c>
      <c r="B25" s="126"/>
      <c r="C25" s="126" t="s">
        <v>366</v>
      </c>
      <c r="D25" s="126"/>
      <c r="E25" s="126" t="s">
        <v>367</v>
      </c>
      <c r="F25" s="126"/>
    </row>
    <row r="26" spans="1:6" x14ac:dyDescent="0.25">
      <c r="A26" s="1" t="s">
        <v>363</v>
      </c>
      <c r="B26" s="29">
        <v>7</v>
      </c>
      <c r="C26" s="1" t="s">
        <v>371</v>
      </c>
      <c r="D26" s="29">
        <v>3</v>
      </c>
      <c r="E26" s="1" t="s">
        <v>878</v>
      </c>
      <c r="F26" s="29">
        <v>2</v>
      </c>
    </row>
    <row r="27" spans="1:6" x14ac:dyDescent="0.25">
      <c r="A27" s="1" t="s">
        <v>365</v>
      </c>
      <c r="B27" s="28">
        <v>13</v>
      </c>
      <c r="C27" s="1" t="s">
        <v>369</v>
      </c>
      <c r="D27" s="28">
        <v>15</v>
      </c>
      <c r="E27" s="1" t="s">
        <v>1014</v>
      </c>
      <c r="F27" s="28">
        <v>1</v>
      </c>
    </row>
    <row r="28" spans="1:6" x14ac:dyDescent="0.25">
      <c r="A28" s="1" t="s">
        <v>364</v>
      </c>
      <c r="B28" s="28">
        <v>2</v>
      </c>
      <c r="C28" s="1" t="s">
        <v>368</v>
      </c>
      <c r="D28" s="28">
        <v>15</v>
      </c>
      <c r="E28" s="1" t="s">
        <v>964</v>
      </c>
      <c r="F28" s="28">
        <v>2</v>
      </c>
    </row>
    <row r="29" spans="1:6" x14ac:dyDescent="0.25">
      <c r="A29" s="1" t="s">
        <v>362</v>
      </c>
      <c r="B29" s="28">
        <v>4</v>
      </c>
      <c r="C29" s="1" t="s">
        <v>370</v>
      </c>
      <c r="D29" s="28">
        <v>4</v>
      </c>
      <c r="E29" s="1" t="s">
        <v>373</v>
      </c>
      <c r="F29" s="28">
        <v>1</v>
      </c>
    </row>
    <row r="30" spans="1:6" x14ac:dyDescent="0.25">
      <c r="A30" s="1" t="s">
        <v>910</v>
      </c>
      <c r="B30" s="28">
        <v>2</v>
      </c>
      <c r="C30" s="1" t="s">
        <v>1051</v>
      </c>
      <c r="D30" s="28">
        <v>1</v>
      </c>
      <c r="E30" s="1" t="s">
        <v>374</v>
      </c>
      <c r="F30" s="28">
        <v>4</v>
      </c>
    </row>
    <row r="31" spans="1:6" x14ac:dyDescent="0.25">
      <c r="B31" s="28"/>
      <c r="D31" s="28"/>
      <c r="E31" s="2" t="s">
        <v>987</v>
      </c>
      <c r="F31" s="28">
        <v>1</v>
      </c>
    </row>
    <row r="32" spans="1:6" x14ac:dyDescent="0.25">
      <c r="B32" s="28"/>
      <c r="D32" s="28"/>
      <c r="E32" s="2" t="s">
        <v>372</v>
      </c>
      <c r="F32" s="28">
        <v>1</v>
      </c>
    </row>
    <row r="33" spans="1:7" x14ac:dyDescent="0.25">
      <c r="B33" s="28"/>
      <c r="D33" s="28"/>
      <c r="E33" s="2" t="s">
        <v>1020</v>
      </c>
      <c r="F33" s="28">
        <v>1</v>
      </c>
    </row>
    <row r="34" spans="1:7" x14ac:dyDescent="0.25">
      <c r="B34" s="28"/>
      <c r="D34" s="28"/>
      <c r="E34" s="2" t="s">
        <v>375</v>
      </c>
      <c r="F34" s="28">
        <v>2</v>
      </c>
    </row>
    <row r="35" spans="1:7" x14ac:dyDescent="0.25">
      <c r="B35" s="28"/>
      <c r="D35" s="28"/>
      <c r="E35" s="2" t="s">
        <v>971</v>
      </c>
      <c r="F35" s="28">
        <v>1</v>
      </c>
    </row>
    <row r="36" spans="1:7" x14ac:dyDescent="0.25">
      <c r="B36" s="28"/>
      <c r="D36" s="28"/>
      <c r="F36" s="28"/>
    </row>
    <row r="37" spans="1:7" x14ac:dyDescent="0.25">
      <c r="A37" s="30"/>
      <c r="B37" s="31"/>
      <c r="C37" s="30"/>
      <c r="D37" s="31"/>
      <c r="E37" s="30"/>
      <c r="F37" s="31"/>
    </row>
    <row r="39" spans="1:7" x14ac:dyDescent="0.25">
      <c r="A39" s="127" t="s">
        <v>16</v>
      </c>
      <c r="B39" s="127"/>
      <c r="C39" s="127"/>
      <c r="D39" s="127"/>
      <c r="E39" s="127"/>
      <c r="F39" s="127"/>
    </row>
    <row r="40" spans="1:7" x14ac:dyDescent="0.25">
      <c r="A40" s="38" t="s">
        <v>376</v>
      </c>
      <c r="B40" s="39">
        <v>8</v>
      </c>
      <c r="C40" s="38" t="s">
        <v>377</v>
      </c>
      <c r="D40" s="39">
        <v>15</v>
      </c>
      <c r="E40" s="38" t="s">
        <v>378</v>
      </c>
      <c r="F40" s="39">
        <v>7</v>
      </c>
      <c r="G40" s="1" t="s">
        <v>928</v>
      </c>
    </row>
    <row r="41" spans="1:7" x14ac:dyDescent="0.25">
      <c r="A41" s="2" t="s">
        <v>383</v>
      </c>
      <c r="B41" s="28"/>
      <c r="C41" s="1" t="s">
        <v>380</v>
      </c>
      <c r="D41" s="28"/>
      <c r="E41" s="1" t="s">
        <v>388</v>
      </c>
      <c r="F41" s="28"/>
    </row>
    <row r="42" spans="1:7" x14ac:dyDescent="0.25">
      <c r="A42" s="1" t="s">
        <v>382</v>
      </c>
      <c r="B42" s="28">
        <v>3</v>
      </c>
      <c r="C42" s="1" t="s">
        <v>381</v>
      </c>
      <c r="D42" s="28"/>
      <c r="E42" s="1" t="s">
        <v>387</v>
      </c>
      <c r="F42" s="28"/>
    </row>
    <row r="43" spans="1:7" x14ac:dyDescent="0.25">
      <c r="A43" s="1" t="s">
        <v>988</v>
      </c>
      <c r="B43" s="28"/>
      <c r="D43" s="28"/>
      <c r="E43" s="1" t="s">
        <v>911</v>
      </c>
      <c r="F43" s="28">
        <v>1</v>
      </c>
    </row>
    <row r="44" spans="1:7" x14ac:dyDescent="0.25">
      <c r="A44" s="1" t="s">
        <v>384</v>
      </c>
      <c r="B44" s="28"/>
      <c r="C44" s="33"/>
      <c r="D44" s="28"/>
      <c r="F44" s="28"/>
    </row>
    <row r="45" spans="1:7" x14ac:dyDescent="0.25">
      <c r="A45" s="1" t="s">
        <v>385</v>
      </c>
      <c r="B45" s="28"/>
      <c r="C45" s="33"/>
      <c r="D45" s="28"/>
      <c r="F45" s="28"/>
    </row>
    <row r="46" spans="1:7" x14ac:dyDescent="0.25">
      <c r="A46" s="1" t="s">
        <v>386</v>
      </c>
      <c r="B46" s="28"/>
      <c r="C46" s="33"/>
      <c r="D46" s="28"/>
      <c r="E46" s="2"/>
      <c r="F46" s="28"/>
    </row>
    <row r="47" spans="1:7" ht="30" x14ac:dyDescent="0.25">
      <c r="A47" s="2" t="s">
        <v>989</v>
      </c>
      <c r="B47" s="28"/>
      <c r="C47" s="33"/>
      <c r="D47" s="28"/>
      <c r="E47" s="2"/>
      <c r="F47" s="28"/>
    </row>
    <row r="48" spans="1:7" x14ac:dyDescent="0.25">
      <c r="B48" s="28"/>
      <c r="D48" s="28"/>
      <c r="E48" s="2"/>
      <c r="F48" s="28"/>
    </row>
    <row r="49" spans="1:6" x14ac:dyDescent="0.25">
      <c r="A49" s="30"/>
      <c r="B49" s="31"/>
      <c r="C49" s="30"/>
      <c r="D49" s="31"/>
      <c r="E49" s="30"/>
      <c r="F49" s="31"/>
    </row>
    <row r="51" spans="1:6" x14ac:dyDescent="0.25">
      <c r="A51" s="40" t="s">
        <v>379</v>
      </c>
      <c r="B51" s="39">
        <v>3</v>
      </c>
      <c r="C51" s="38" t="s">
        <v>367</v>
      </c>
      <c r="D51" s="39"/>
      <c r="E51" s="38"/>
      <c r="F51" s="39"/>
    </row>
    <row r="52" spans="1:6" x14ac:dyDescent="0.25">
      <c r="A52" s="2"/>
      <c r="B52" s="28"/>
      <c r="C52" s="1" t="s">
        <v>879</v>
      </c>
      <c r="D52" s="28">
        <v>1</v>
      </c>
      <c r="F52" s="28"/>
    </row>
    <row r="53" spans="1:6" x14ac:dyDescent="0.25">
      <c r="B53" s="28"/>
      <c r="C53" s="1" t="s">
        <v>880</v>
      </c>
      <c r="D53" s="28">
        <v>3</v>
      </c>
      <c r="F53" s="28"/>
    </row>
    <row r="54" spans="1:6" x14ac:dyDescent="0.25">
      <c r="B54" s="28"/>
      <c r="C54" s="1" t="s">
        <v>972</v>
      </c>
      <c r="D54" s="28">
        <v>1</v>
      </c>
      <c r="F54" s="28"/>
    </row>
    <row r="55" spans="1:6" x14ac:dyDescent="0.25">
      <c r="B55" s="32"/>
      <c r="C55" s="33" t="s">
        <v>981</v>
      </c>
      <c r="D55" s="28">
        <v>1</v>
      </c>
      <c r="F55" s="28"/>
    </row>
    <row r="56" spans="1:6" x14ac:dyDescent="0.25">
      <c r="B56" s="32"/>
      <c r="C56" s="33" t="s">
        <v>1052</v>
      </c>
      <c r="D56" s="28">
        <v>1</v>
      </c>
      <c r="F56" s="28"/>
    </row>
    <row r="57" spans="1:6" x14ac:dyDescent="0.25">
      <c r="B57" s="32"/>
      <c r="C57" s="33"/>
      <c r="D57" s="28"/>
      <c r="E57" s="2"/>
      <c r="F57" s="28"/>
    </row>
    <row r="58" spans="1:6" x14ac:dyDescent="0.25">
      <c r="A58" s="2"/>
      <c r="B58" s="32"/>
      <c r="C58" s="33"/>
      <c r="D58" s="28"/>
      <c r="E58" s="2"/>
      <c r="F58" s="28"/>
    </row>
    <row r="59" spans="1:6" x14ac:dyDescent="0.25">
      <c r="B59" s="32"/>
      <c r="C59" s="33"/>
      <c r="D59" s="28"/>
      <c r="E59" s="2"/>
      <c r="F59" s="28"/>
    </row>
    <row r="60" spans="1:6" x14ac:dyDescent="0.25">
      <c r="A60" s="30"/>
      <c r="B60" s="31"/>
      <c r="C60" s="30"/>
      <c r="D60" s="31"/>
      <c r="E60" s="30"/>
      <c r="F60" s="31"/>
    </row>
    <row r="62" spans="1:6" x14ac:dyDescent="0.25">
      <c r="A62" s="127" t="s">
        <v>18</v>
      </c>
      <c r="B62" s="127"/>
      <c r="C62" s="127"/>
      <c r="D62" s="127"/>
      <c r="E62" s="127"/>
      <c r="F62" s="127"/>
    </row>
    <row r="63" spans="1:6" x14ac:dyDescent="0.25">
      <c r="A63" s="126" t="s">
        <v>378</v>
      </c>
      <c r="B63" s="126"/>
      <c r="C63" s="126" t="s">
        <v>389</v>
      </c>
      <c r="D63" s="126"/>
      <c r="E63" s="126" t="s">
        <v>367</v>
      </c>
      <c r="F63" s="126"/>
    </row>
    <row r="64" spans="1:6" x14ac:dyDescent="0.25">
      <c r="A64" s="2" t="s">
        <v>402</v>
      </c>
      <c r="B64" s="78">
        <v>1</v>
      </c>
      <c r="C64" s="2" t="s">
        <v>395</v>
      </c>
      <c r="D64" s="78">
        <v>3</v>
      </c>
      <c r="E64" s="2" t="s">
        <v>400</v>
      </c>
      <c r="F64" s="28">
        <v>1</v>
      </c>
    </row>
    <row r="65" spans="1:6" x14ac:dyDescent="0.25">
      <c r="A65" s="2" t="s">
        <v>412</v>
      </c>
      <c r="B65" s="78">
        <v>2</v>
      </c>
      <c r="C65" s="2" t="s">
        <v>393</v>
      </c>
      <c r="D65" s="78">
        <v>1</v>
      </c>
      <c r="E65" s="2" t="s">
        <v>936</v>
      </c>
      <c r="F65" s="28">
        <v>1</v>
      </c>
    </row>
    <row r="66" spans="1:6" x14ac:dyDescent="0.25">
      <c r="A66" s="2" t="s">
        <v>410</v>
      </c>
      <c r="B66" s="78">
        <v>1</v>
      </c>
      <c r="C66" s="2" t="s">
        <v>882</v>
      </c>
      <c r="D66" s="78">
        <v>1</v>
      </c>
      <c r="E66" s="2" t="s">
        <v>399</v>
      </c>
      <c r="F66" s="28">
        <v>1</v>
      </c>
    </row>
    <row r="67" spans="1:6" ht="30" x14ac:dyDescent="0.25">
      <c r="A67" s="2" t="s">
        <v>417</v>
      </c>
      <c r="B67" s="78">
        <v>3</v>
      </c>
      <c r="C67" s="2" t="s">
        <v>990</v>
      </c>
      <c r="D67" s="78">
        <v>2</v>
      </c>
      <c r="E67" s="2" t="s">
        <v>401</v>
      </c>
      <c r="F67" s="28">
        <v>1</v>
      </c>
    </row>
    <row r="68" spans="1:6" ht="30" x14ac:dyDescent="0.25">
      <c r="A68" s="2" t="s">
        <v>944</v>
      </c>
      <c r="B68" s="78">
        <v>2</v>
      </c>
      <c r="C68" s="2" t="s">
        <v>398</v>
      </c>
      <c r="D68" s="78">
        <v>3</v>
      </c>
      <c r="E68" s="2" t="s">
        <v>1022</v>
      </c>
      <c r="F68" s="28">
        <v>1</v>
      </c>
    </row>
    <row r="69" spans="1:6" ht="45" x14ac:dyDescent="0.25">
      <c r="A69" s="2" t="s">
        <v>405</v>
      </c>
      <c r="B69" s="78">
        <v>1</v>
      </c>
      <c r="C69" s="2" t="s">
        <v>991</v>
      </c>
      <c r="D69" s="78">
        <v>2</v>
      </c>
      <c r="E69" s="2" t="s">
        <v>1044</v>
      </c>
      <c r="F69" s="28">
        <v>1</v>
      </c>
    </row>
    <row r="70" spans="1:6" x14ac:dyDescent="0.25">
      <c r="A70" s="2" t="s">
        <v>411</v>
      </c>
      <c r="B70" s="78">
        <v>1</v>
      </c>
      <c r="C70" s="2" t="s">
        <v>394</v>
      </c>
      <c r="D70" s="78">
        <v>1</v>
      </c>
      <c r="E70" s="2" t="s">
        <v>1054</v>
      </c>
      <c r="F70" s="28">
        <v>1</v>
      </c>
    </row>
    <row r="71" spans="1:6" x14ac:dyDescent="0.25">
      <c r="A71" s="2" t="s">
        <v>408</v>
      </c>
      <c r="B71" s="78">
        <v>1</v>
      </c>
      <c r="C71" s="2" t="s">
        <v>993</v>
      </c>
      <c r="D71" s="78">
        <v>1</v>
      </c>
      <c r="E71" s="2"/>
      <c r="F71" s="28"/>
    </row>
    <row r="72" spans="1:6" x14ac:dyDescent="0.25">
      <c r="A72" s="2" t="s">
        <v>409</v>
      </c>
      <c r="B72" s="78">
        <v>3</v>
      </c>
      <c r="C72" s="2" t="s">
        <v>396</v>
      </c>
      <c r="D72" s="78">
        <v>1</v>
      </c>
      <c r="E72" s="2"/>
      <c r="F72" s="28"/>
    </row>
    <row r="73" spans="1:6" x14ac:dyDescent="0.25">
      <c r="A73" s="2" t="s">
        <v>403</v>
      </c>
      <c r="B73" s="78">
        <v>2</v>
      </c>
      <c r="C73" s="2" t="s">
        <v>390</v>
      </c>
      <c r="D73" s="78">
        <v>2</v>
      </c>
      <c r="E73" s="2"/>
      <c r="F73" s="28"/>
    </row>
    <row r="74" spans="1:6" ht="30" x14ac:dyDescent="0.25">
      <c r="A74" s="2" t="s">
        <v>413</v>
      </c>
      <c r="B74" s="78">
        <v>1</v>
      </c>
      <c r="C74" s="2" t="s">
        <v>946</v>
      </c>
      <c r="D74" s="78">
        <v>2</v>
      </c>
      <c r="E74" s="2"/>
      <c r="F74" s="28"/>
    </row>
    <row r="75" spans="1:6" ht="30" x14ac:dyDescent="0.25">
      <c r="A75" s="2" t="s">
        <v>406</v>
      </c>
      <c r="B75" s="78">
        <v>1</v>
      </c>
      <c r="C75" s="2" t="s">
        <v>992</v>
      </c>
      <c r="D75" s="78">
        <v>2</v>
      </c>
      <c r="E75" s="2"/>
      <c r="F75" s="28"/>
    </row>
    <row r="76" spans="1:6" ht="30" x14ac:dyDescent="0.25">
      <c r="A76" s="2" t="s">
        <v>407</v>
      </c>
      <c r="B76" s="78">
        <v>1</v>
      </c>
      <c r="C76" s="2" t="s">
        <v>391</v>
      </c>
      <c r="D76" s="78">
        <v>1</v>
      </c>
      <c r="E76" s="2"/>
      <c r="F76" s="28"/>
    </row>
    <row r="77" spans="1:6" x14ac:dyDescent="0.25">
      <c r="A77" s="2" t="s">
        <v>1003</v>
      </c>
      <c r="B77" s="78">
        <v>1</v>
      </c>
      <c r="C77" s="2" t="s">
        <v>397</v>
      </c>
      <c r="D77" s="78">
        <v>1</v>
      </c>
      <c r="E77" s="2"/>
      <c r="F77" s="28"/>
    </row>
    <row r="78" spans="1:6" x14ac:dyDescent="0.25">
      <c r="A78" s="2" t="s">
        <v>415</v>
      </c>
      <c r="B78" s="78">
        <v>1</v>
      </c>
      <c r="C78" s="2" t="s">
        <v>1001</v>
      </c>
      <c r="D78" s="78">
        <v>1</v>
      </c>
      <c r="E78" s="2"/>
      <c r="F78" s="28"/>
    </row>
    <row r="79" spans="1:6" ht="30" x14ac:dyDescent="0.25">
      <c r="A79" s="2" t="s">
        <v>955</v>
      </c>
      <c r="B79" s="78">
        <v>2</v>
      </c>
      <c r="C79" s="2" t="s">
        <v>1002</v>
      </c>
      <c r="D79" s="78">
        <v>1</v>
      </c>
      <c r="E79" s="2"/>
      <c r="F79" s="28"/>
    </row>
    <row r="80" spans="1:6" ht="30" x14ac:dyDescent="0.25">
      <c r="A80" s="2" t="s">
        <v>404</v>
      </c>
      <c r="B80" s="78">
        <v>1</v>
      </c>
      <c r="C80" s="2" t="s">
        <v>994</v>
      </c>
      <c r="D80" s="78">
        <v>1</v>
      </c>
      <c r="E80" s="2"/>
      <c r="F80" s="28"/>
    </row>
    <row r="81" spans="1:6" ht="45" x14ac:dyDescent="0.25">
      <c r="A81" s="2" t="s">
        <v>1036</v>
      </c>
      <c r="B81" s="78">
        <v>1</v>
      </c>
      <c r="C81" s="2" t="s">
        <v>945</v>
      </c>
      <c r="D81" s="78">
        <v>1</v>
      </c>
      <c r="E81" s="2"/>
      <c r="F81" s="28"/>
    </row>
    <row r="82" spans="1:6" ht="30" x14ac:dyDescent="0.25">
      <c r="A82" s="2" t="s">
        <v>418</v>
      </c>
      <c r="B82" s="78">
        <v>2</v>
      </c>
      <c r="C82" s="2" t="s">
        <v>392</v>
      </c>
      <c r="D82" s="78">
        <v>1</v>
      </c>
      <c r="E82" s="2"/>
      <c r="F82" s="28"/>
    </row>
    <row r="83" spans="1:6" ht="30" x14ac:dyDescent="0.25">
      <c r="A83" s="2" t="s">
        <v>416</v>
      </c>
      <c r="B83" s="78">
        <v>1</v>
      </c>
      <c r="C83" s="2" t="s">
        <v>1021</v>
      </c>
      <c r="D83" s="78">
        <v>1</v>
      </c>
      <c r="E83" s="2"/>
      <c r="F83" s="28"/>
    </row>
    <row r="84" spans="1:6" ht="30" x14ac:dyDescent="0.25">
      <c r="A84" s="2" t="s">
        <v>881</v>
      </c>
      <c r="B84" s="78">
        <v>1</v>
      </c>
      <c r="C84" s="2"/>
      <c r="D84" s="78"/>
      <c r="E84" s="2"/>
      <c r="F84" s="28"/>
    </row>
    <row r="85" spans="1:6" x14ac:dyDescent="0.25">
      <c r="A85" s="2" t="s">
        <v>414</v>
      </c>
      <c r="B85" s="78">
        <v>3</v>
      </c>
      <c r="C85" s="2"/>
      <c r="D85" s="78"/>
      <c r="E85" s="2"/>
      <c r="F85" s="28"/>
    </row>
    <row r="86" spans="1:6" x14ac:dyDescent="0.25">
      <c r="A86" s="2" t="s">
        <v>912</v>
      </c>
      <c r="B86" s="78">
        <v>1</v>
      </c>
      <c r="C86" s="2"/>
      <c r="D86" s="78"/>
      <c r="E86" s="2"/>
      <c r="F86" s="28"/>
    </row>
    <row r="87" spans="1:6" ht="30" x14ac:dyDescent="0.25">
      <c r="A87" s="2" t="s">
        <v>913</v>
      </c>
      <c r="B87" s="78">
        <v>1</v>
      </c>
      <c r="C87" s="2"/>
      <c r="D87" s="78"/>
      <c r="E87" s="2"/>
      <c r="F87" s="28"/>
    </row>
    <row r="88" spans="1:6" ht="45" x14ac:dyDescent="0.25">
      <c r="A88" s="2" t="s">
        <v>1053</v>
      </c>
      <c r="B88" s="78">
        <v>1</v>
      </c>
      <c r="C88" s="2"/>
      <c r="D88" s="78"/>
      <c r="E88" s="2"/>
      <c r="F88" s="28"/>
    </row>
    <row r="89" spans="1:6" x14ac:dyDescent="0.25">
      <c r="A89" s="37"/>
      <c r="B89" s="79"/>
      <c r="C89" s="37"/>
      <c r="D89" s="79"/>
      <c r="E89" s="37"/>
      <c r="F89" s="31"/>
    </row>
    <row r="92" spans="1:6" x14ac:dyDescent="0.25">
      <c r="A92" s="127" t="s">
        <v>19</v>
      </c>
      <c r="B92" s="127"/>
      <c r="C92" s="127"/>
      <c r="D92" s="127"/>
      <c r="E92" s="127"/>
      <c r="F92" s="127"/>
    </row>
    <row r="93" spans="1:6" x14ac:dyDescent="0.25">
      <c r="A93" s="126" t="s">
        <v>1245</v>
      </c>
      <c r="B93" s="126"/>
      <c r="C93" s="126" t="s">
        <v>419</v>
      </c>
      <c r="D93" s="126"/>
      <c r="E93" s="126" t="s">
        <v>420</v>
      </c>
      <c r="F93" s="126"/>
    </row>
    <row r="94" spans="1:6" ht="45" x14ac:dyDescent="0.25">
      <c r="A94" s="2" t="s">
        <v>995</v>
      </c>
      <c r="B94" s="77">
        <v>1</v>
      </c>
      <c r="C94" s="2" t="s">
        <v>998</v>
      </c>
      <c r="D94" s="77">
        <v>1</v>
      </c>
      <c r="E94" s="2" t="s">
        <v>423</v>
      </c>
      <c r="F94" s="77">
        <v>1</v>
      </c>
    </row>
    <row r="95" spans="1:6" ht="15" customHeight="1" x14ac:dyDescent="0.25">
      <c r="A95" s="2" t="s">
        <v>973</v>
      </c>
      <c r="B95" s="78">
        <v>1</v>
      </c>
      <c r="C95" s="2" t="s">
        <v>905</v>
      </c>
      <c r="D95" s="78">
        <v>1</v>
      </c>
      <c r="E95" s="2" t="s">
        <v>422</v>
      </c>
      <c r="F95" s="78">
        <v>2</v>
      </c>
    </row>
    <row r="96" spans="1:6" ht="15" customHeight="1" x14ac:dyDescent="0.25">
      <c r="A96" s="2" t="s">
        <v>424</v>
      </c>
      <c r="B96" s="78">
        <v>1</v>
      </c>
      <c r="C96" s="2" t="s">
        <v>952</v>
      </c>
      <c r="D96" s="78">
        <v>1</v>
      </c>
      <c r="E96" s="2" t="s">
        <v>421</v>
      </c>
      <c r="F96" s="78">
        <v>1</v>
      </c>
    </row>
    <row r="97" spans="1:6" ht="30" x14ac:dyDescent="0.25">
      <c r="A97" s="2" t="s">
        <v>996</v>
      </c>
      <c r="B97" s="78">
        <v>1</v>
      </c>
      <c r="C97" s="2" t="s">
        <v>929</v>
      </c>
      <c r="D97" s="78">
        <v>1</v>
      </c>
      <c r="E97" s="2"/>
      <c r="F97" s="78"/>
    </row>
    <row r="98" spans="1:6" ht="30" x14ac:dyDescent="0.25">
      <c r="A98" s="2" t="s">
        <v>956</v>
      </c>
      <c r="B98" s="78">
        <v>2</v>
      </c>
      <c r="C98" s="2" t="s">
        <v>1023</v>
      </c>
      <c r="D98" s="78">
        <v>1</v>
      </c>
      <c r="E98" s="2"/>
      <c r="F98" s="78"/>
    </row>
    <row r="99" spans="1:6" ht="30" x14ac:dyDescent="0.25">
      <c r="A99" s="2" t="s">
        <v>1004</v>
      </c>
      <c r="B99" s="78">
        <v>2</v>
      </c>
      <c r="C99" s="2" t="s">
        <v>1030</v>
      </c>
      <c r="D99" s="78">
        <v>1</v>
      </c>
      <c r="E99" s="2"/>
      <c r="F99" s="78"/>
    </row>
    <row r="100" spans="1:6" ht="30" x14ac:dyDescent="0.25">
      <c r="A100" s="2" t="s">
        <v>1038</v>
      </c>
      <c r="B100" s="78">
        <v>1</v>
      </c>
      <c r="C100" s="2"/>
      <c r="D100" s="78"/>
      <c r="E100" s="2"/>
      <c r="F100" s="78"/>
    </row>
    <row r="101" spans="1:6" x14ac:dyDescent="0.25">
      <c r="A101" s="2" t="s">
        <v>1037</v>
      </c>
      <c r="B101" s="78">
        <v>1</v>
      </c>
      <c r="C101" s="2"/>
      <c r="D101" s="78"/>
      <c r="E101" s="2"/>
      <c r="F101" s="78"/>
    </row>
    <row r="102" spans="1:6" x14ac:dyDescent="0.25">
      <c r="A102" s="2" t="s">
        <v>1005</v>
      </c>
      <c r="B102" s="78">
        <v>1</v>
      </c>
      <c r="C102" s="2"/>
      <c r="D102" s="78"/>
      <c r="E102" s="2"/>
      <c r="F102" s="78"/>
    </row>
    <row r="103" spans="1:6" x14ac:dyDescent="0.25">
      <c r="A103" s="2" t="s">
        <v>425</v>
      </c>
      <c r="B103" s="78">
        <v>1</v>
      </c>
      <c r="C103" s="2"/>
      <c r="D103" s="78"/>
      <c r="E103" s="2"/>
      <c r="F103" s="78"/>
    </row>
    <row r="104" spans="1:6" ht="30" x14ac:dyDescent="0.25">
      <c r="A104" s="2" t="s">
        <v>1015</v>
      </c>
      <c r="B104" s="78">
        <v>2</v>
      </c>
      <c r="C104" s="2"/>
      <c r="D104" s="78"/>
      <c r="E104" s="2"/>
      <c r="F104" s="78"/>
    </row>
    <row r="105" spans="1:6" ht="30" x14ac:dyDescent="0.25">
      <c r="A105" s="2" t="s">
        <v>930</v>
      </c>
      <c r="B105" s="78">
        <v>1</v>
      </c>
      <c r="C105" s="2"/>
      <c r="D105" s="78"/>
      <c r="E105" s="2"/>
      <c r="F105" s="78"/>
    </row>
    <row r="106" spans="1:6" ht="30" x14ac:dyDescent="0.25">
      <c r="A106" s="2" t="s">
        <v>997</v>
      </c>
      <c r="B106" s="78">
        <v>1</v>
      </c>
      <c r="C106" s="2"/>
      <c r="D106" s="78"/>
      <c r="E106" s="2"/>
      <c r="F106" s="78"/>
    </row>
    <row r="107" spans="1:6" x14ac:dyDescent="0.25">
      <c r="A107" s="2"/>
      <c r="B107" s="78"/>
      <c r="C107" s="2"/>
      <c r="D107" s="78"/>
      <c r="E107" s="2"/>
      <c r="F107" s="78"/>
    </row>
    <row r="108" spans="1:6" x14ac:dyDescent="0.25">
      <c r="A108" s="2"/>
      <c r="B108" s="78"/>
      <c r="C108" s="2"/>
      <c r="D108" s="78"/>
      <c r="E108" s="2"/>
      <c r="F108" s="78"/>
    </row>
    <row r="109" spans="1:6" x14ac:dyDescent="0.25">
      <c r="A109" s="37"/>
      <c r="B109" s="79"/>
      <c r="C109" s="37"/>
      <c r="D109" s="79"/>
      <c r="E109" s="37"/>
      <c r="F109" s="79"/>
    </row>
    <row r="111" spans="1:6" x14ac:dyDescent="0.25">
      <c r="A111" s="128" t="s">
        <v>22</v>
      </c>
      <c r="B111" s="128"/>
      <c r="C111" s="128"/>
      <c r="D111" s="128"/>
      <c r="E111" s="128"/>
      <c r="F111" s="128"/>
    </row>
    <row r="112" spans="1:6" s="23" customFormat="1" x14ac:dyDescent="0.25">
      <c r="A112" s="34"/>
      <c r="B112" s="34"/>
      <c r="C112" s="34"/>
      <c r="D112" s="34"/>
      <c r="E112" s="34"/>
      <c r="F112" s="34"/>
    </row>
    <row r="113" spans="1:7" x14ac:dyDescent="0.25">
      <c r="A113" s="127" t="s">
        <v>20</v>
      </c>
      <c r="B113" s="127"/>
      <c r="C113" s="127"/>
      <c r="D113" s="127"/>
      <c r="E113" s="127"/>
      <c r="F113" s="127"/>
    </row>
    <row r="114" spans="1:7" x14ac:dyDescent="0.25">
      <c r="A114" s="2" t="s">
        <v>429</v>
      </c>
      <c r="B114" s="29">
        <v>6</v>
      </c>
      <c r="D114" s="29"/>
      <c r="F114" s="29"/>
      <c r="G114" s="32"/>
    </row>
    <row r="115" spans="1:7" ht="30" x14ac:dyDescent="0.25">
      <c r="A115" s="2" t="s">
        <v>999</v>
      </c>
      <c r="B115" s="28">
        <v>1</v>
      </c>
      <c r="D115" s="28"/>
      <c r="F115" s="28"/>
      <c r="G115" s="32"/>
    </row>
    <row r="116" spans="1:7" ht="45" x14ac:dyDescent="0.25">
      <c r="A116" s="2" t="s">
        <v>916</v>
      </c>
      <c r="B116" s="28">
        <v>2</v>
      </c>
      <c r="D116" s="28"/>
      <c r="F116" s="28"/>
      <c r="G116" s="32"/>
    </row>
    <row r="117" spans="1:7" ht="30" x14ac:dyDescent="0.25">
      <c r="A117" s="2" t="s">
        <v>914</v>
      </c>
      <c r="B117" s="28">
        <v>5</v>
      </c>
      <c r="D117" s="28"/>
      <c r="F117" s="28"/>
      <c r="G117" s="32"/>
    </row>
    <row r="118" spans="1:7" ht="45" x14ac:dyDescent="0.25">
      <c r="A118" s="2" t="s">
        <v>1028</v>
      </c>
      <c r="B118" s="28">
        <v>1</v>
      </c>
      <c r="D118" s="28"/>
      <c r="F118" s="28"/>
      <c r="G118" s="32"/>
    </row>
    <row r="119" spans="1:7" ht="30" x14ac:dyDescent="0.25">
      <c r="A119" s="2" t="s">
        <v>430</v>
      </c>
      <c r="B119" s="28">
        <v>4</v>
      </c>
      <c r="D119" s="28"/>
      <c r="F119" s="28"/>
      <c r="G119" s="32"/>
    </row>
    <row r="120" spans="1:7" x14ac:dyDescent="0.25">
      <c r="A120" s="2" t="s">
        <v>432</v>
      </c>
      <c r="B120" s="28">
        <v>5</v>
      </c>
      <c r="D120" s="28"/>
      <c r="E120" s="2"/>
      <c r="F120" s="28"/>
      <c r="G120" s="32"/>
    </row>
    <row r="121" spans="1:7" x14ac:dyDescent="0.25">
      <c r="A121" s="2" t="s">
        <v>1006</v>
      </c>
      <c r="B121" s="28">
        <v>2</v>
      </c>
      <c r="D121" s="28"/>
      <c r="E121" s="2"/>
      <c r="F121" s="28"/>
      <c r="G121" s="32"/>
    </row>
    <row r="122" spans="1:7" x14ac:dyDescent="0.25">
      <c r="A122" s="2" t="s">
        <v>1007</v>
      </c>
      <c r="B122" s="28">
        <v>1</v>
      </c>
      <c r="D122" s="28"/>
      <c r="E122" s="2"/>
      <c r="F122" s="28"/>
      <c r="G122" s="32"/>
    </row>
    <row r="123" spans="1:7" ht="30" x14ac:dyDescent="0.25">
      <c r="A123" s="2" t="s">
        <v>431</v>
      </c>
      <c r="B123" s="28">
        <v>5</v>
      </c>
      <c r="D123" s="28"/>
      <c r="E123" s="2"/>
      <c r="F123" s="28"/>
      <c r="G123" s="32"/>
    </row>
    <row r="124" spans="1:7" ht="30" x14ac:dyDescent="0.25">
      <c r="A124" s="2" t="s">
        <v>1000</v>
      </c>
      <c r="B124" s="28">
        <v>1</v>
      </c>
      <c r="D124" s="28"/>
      <c r="E124" s="2"/>
      <c r="F124" s="28"/>
      <c r="G124" s="32"/>
    </row>
    <row r="125" spans="1:7" x14ac:dyDescent="0.25">
      <c r="A125" s="2" t="s">
        <v>957</v>
      </c>
      <c r="B125" s="28">
        <v>1</v>
      </c>
      <c r="D125" s="28"/>
      <c r="E125" s="2"/>
      <c r="F125" s="28"/>
      <c r="G125" s="32"/>
    </row>
    <row r="126" spans="1:7" ht="30" x14ac:dyDescent="0.25">
      <c r="A126" s="2" t="s">
        <v>915</v>
      </c>
      <c r="B126" s="28">
        <v>1</v>
      </c>
      <c r="D126" s="28"/>
      <c r="F126" s="28"/>
      <c r="G126" s="32"/>
    </row>
    <row r="127" spans="1:7" x14ac:dyDescent="0.25">
      <c r="A127" s="2" t="s">
        <v>433</v>
      </c>
      <c r="B127" s="28">
        <v>1</v>
      </c>
      <c r="D127" s="28"/>
      <c r="F127" s="28"/>
      <c r="G127" s="32"/>
    </row>
    <row r="128" spans="1:7" ht="30" x14ac:dyDescent="0.25">
      <c r="A128" s="2" t="s">
        <v>434</v>
      </c>
      <c r="B128" s="28">
        <v>1</v>
      </c>
      <c r="D128" s="28"/>
      <c r="F128" s="28"/>
      <c r="G128" s="32"/>
    </row>
    <row r="129" spans="1:7" ht="30" x14ac:dyDescent="0.25">
      <c r="A129" s="2" t="s">
        <v>947</v>
      </c>
      <c r="B129" s="28">
        <v>1</v>
      </c>
      <c r="D129" s="28"/>
      <c r="F129" s="28"/>
      <c r="G129" s="32"/>
    </row>
    <row r="130" spans="1:7" ht="30" x14ac:dyDescent="0.25">
      <c r="A130" s="37" t="s">
        <v>918</v>
      </c>
      <c r="B130" s="31">
        <v>1</v>
      </c>
      <c r="C130" s="30"/>
      <c r="D130" s="31"/>
      <c r="E130" s="30"/>
      <c r="F130" s="31"/>
      <c r="G130" s="32"/>
    </row>
    <row r="131" spans="1:7" x14ac:dyDescent="0.25">
      <c r="A131" s="32"/>
      <c r="B131" s="32"/>
      <c r="C131" s="32"/>
      <c r="D131" s="32"/>
      <c r="E131" s="32"/>
      <c r="F131" s="32"/>
      <c r="G131" s="32"/>
    </row>
    <row r="132" spans="1:7" x14ac:dyDescent="0.25">
      <c r="A132" s="32"/>
      <c r="B132" s="32"/>
      <c r="C132" s="32"/>
      <c r="D132" s="32"/>
      <c r="E132" s="32"/>
      <c r="F132" s="32"/>
      <c r="G132" s="32"/>
    </row>
    <row r="133" spans="1:7" x14ac:dyDescent="0.25">
      <c r="A133" s="128" t="s">
        <v>22</v>
      </c>
      <c r="B133" s="128"/>
      <c r="C133" s="128"/>
      <c r="D133" s="128"/>
      <c r="E133" s="128"/>
      <c r="F133" s="128"/>
    </row>
    <row r="134" spans="1:7" x14ac:dyDescent="0.25">
      <c r="A134" s="69" t="s">
        <v>917</v>
      </c>
      <c r="B134" s="34"/>
      <c r="C134" s="34"/>
      <c r="D134" s="34"/>
      <c r="E134" s="34"/>
      <c r="F134" s="34"/>
    </row>
    <row r="135" spans="1:7" x14ac:dyDescent="0.25">
      <c r="A135" s="133" t="s">
        <v>428</v>
      </c>
      <c r="B135" s="133"/>
      <c r="C135" s="133"/>
      <c r="D135" s="133"/>
      <c r="E135" s="133"/>
      <c r="F135" s="133"/>
    </row>
    <row r="136" spans="1:7" x14ac:dyDescent="0.25">
      <c r="A136" s="13" t="s">
        <v>426</v>
      </c>
      <c r="B136" s="13">
        <f xml:space="preserve"> COUNTIF('Key Questions'!J$3:J$34, $A136)</f>
        <v>20</v>
      </c>
      <c r="C136" s="32"/>
      <c r="D136" s="32"/>
      <c r="E136" s="132"/>
      <c r="F136" s="132"/>
    </row>
    <row r="137" spans="1:7" x14ac:dyDescent="0.25">
      <c r="A137" s="13" t="s">
        <v>427</v>
      </c>
      <c r="B137" s="13">
        <f xml:space="preserve"> COUNTIF('Key Questions'!J$3:J$34, $A137)</f>
        <v>12</v>
      </c>
      <c r="C137" s="35"/>
      <c r="D137" s="35"/>
      <c r="E137" s="36"/>
      <c r="F137" s="36"/>
    </row>
    <row r="139" spans="1:7" x14ac:dyDescent="0.25">
      <c r="A139" s="133" t="s">
        <v>24</v>
      </c>
      <c r="B139" s="133"/>
      <c r="C139" s="133"/>
      <c r="D139" s="133"/>
      <c r="E139" s="133"/>
      <c r="F139" s="133"/>
    </row>
    <row r="140" spans="1:7" x14ac:dyDescent="0.25">
      <c r="A140" s="13" t="s">
        <v>426</v>
      </c>
      <c r="B140" s="13">
        <f xml:space="preserve"> COUNTIF('Key Questions'!K$3:K$34, $A140)</f>
        <v>29</v>
      </c>
      <c r="C140" s="32"/>
      <c r="D140" s="32"/>
      <c r="E140" s="131"/>
      <c r="F140" s="131"/>
    </row>
    <row r="141" spans="1:7" x14ac:dyDescent="0.25">
      <c r="A141" s="13" t="s">
        <v>427</v>
      </c>
      <c r="B141" s="13">
        <f xml:space="preserve"> COUNTIF('Key Questions'!K$3:K$34, $A141)</f>
        <v>3</v>
      </c>
      <c r="C141" s="32"/>
      <c r="D141" s="32"/>
    </row>
  </sheetData>
  <mergeCells count="26">
    <mergeCell ref="E140:F140"/>
    <mergeCell ref="E136:F136"/>
    <mergeCell ref="A139:F139"/>
    <mergeCell ref="A39:F39"/>
    <mergeCell ref="A6:B6"/>
    <mergeCell ref="C6:D6"/>
    <mergeCell ref="E6:F6"/>
    <mergeCell ref="A135:F135"/>
    <mergeCell ref="A133:F133"/>
    <mergeCell ref="A62:F62"/>
    <mergeCell ref="A63:B63"/>
    <mergeCell ref="C63:D63"/>
    <mergeCell ref="E63:F63"/>
    <mergeCell ref="A92:F92"/>
    <mergeCell ref="A93:B93"/>
    <mergeCell ref="C93:D93"/>
    <mergeCell ref="A1:F1"/>
    <mergeCell ref="A24:F24"/>
    <mergeCell ref="A25:B25"/>
    <mergeCell ref="C25:D25"/>
    <mergeCell ref="E25:F25"/>
    <mergeCell ref="E93:F93"/>
    <mergeCell ref="A113:F113"/>
    <mergeCell ref="A111:F111"/>
    <mergeCell ref="A3:F3"/>
    <mergeCell ref="A5:F5"/>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G175"/>
  <sheetViews>
    <sheetView zoomScale="85" zoomScaleNormal="85" workbookViewId="0">
      <selection sqref="A1:J2"/>
    </sheetView>
  </sheetViews>
  <sheetFormatPr defaultRowHeight="15" x14ac:dyDescent="0.25"/>
  <cols>
    <col min="1" max="1" width="30.7109375" style="61" customWidth="1"/>
    <col min="2" max="2" width="9.140625" style="61"/>
    <col min="3" max="3" width="30.7109375" style="61" customWidth="1"/>
    <col min="4" max="4" width="9.140625" style="61"/>
    <col min="5" max="5" width="30.7109375" style="61" customWidth="1"/>
    <col min="6" max="6" width="9.140625" style="61"/>
    <col min="7" max="7" width="30.7109375" style="61" customWidth="1"/>
    <col min="8" max="8" width="9.140625" style="61"/>
    <col min="9" max="9" width="30.7109375" style="61" customWidth="1"/>
    <col min="10" max="10" width="9.140625" style="61"/>
    <col min="11" max="11" width="30.7109375" style="61" customWidth="1"/>
    <col min="12" max="12" width="9.140625" style="61"/>
    <col min="13" max="13" width="30.7109375" style="61" customWidth="1"/>
    <col min="14" max="14" width="9.140625" style="61"/>
    <col min="15" max="15" width="30.7109375" style="61" customWidth="1"/>
    <col min="16" max="16" width="9.140625" style="61"/>
    <col min="17" max="17" width="30.7109375" style="61" customWidth="1"/>
    <col min="18" max="18" width="9.140625" style="61"/>
    <col min="19" max="19" width="30.7109375" style="61" customWidth="1"/>
    <col min="20" max="20" width="9.140625" style="61"/>
    <col min="21" max="21" width="30.7109375" style="61" customWidth="1"/>
    <col min="22" max="22" width="9.140625" style="61"/>
    <col min="23" max="23" width="30.7109375" style="61" customWidth="1"/>
    <col min="24" max="24" width="9.140625" style="61"/>
    <col min="25" max="25" width="30.7109375" style="61" customWidth="1"/>
    <col min="26" max="26" width="9.140625" style="61"/>
    <col min="27" max="27" width="30.7109375" style="61" customWidth="1"/>
    <col min="28" max="28" width="9.140625" style="61" customWidth="1"/>
    <col min="29" max="29" width="30.7109375" style="61" customWidth="1"/>
    <col min="30" max="30" width="9.140625" style="61"/>
    <col min="31" max="31" width="30.7109375" style="61" customWidth="1"/>
    <col min="32" max="32" width="9.140625" style="61"/>
    <col min="33" max="33" width="30.7109375" style="61" customWidth="1"/>
    <col min="34" max="34" width="9.140625" style="61"/>
    <col min="35" max="35" width="30.7109375" style="61" customWidth="1"/>
    <col min="36" max="36" width="9.140625" style="61"/>
    <col min="37" max="37" width="30.7109375" style="61" customWidth="1"/>
    <col min="38" max="38" width="9.140625" style="61"/>
    <col min="39" max="39" width="30.7109375" style="61" customWidth="1"/>
    <col min="40" max="16384" width="9.140625" style="61"/>
  </cols>
  <sheetData>
    <row r="1" spans="1:59" x14ac:dyDescent="0.25">
      <c r="A1" s="137" t="s">
        <v>497</v>
      </c>
      <c r="B1" s="137"/>
      <c r="C1" s="137"/>
      <c r="D1" s="137"/>
      <c r="E1" s="137"/>
      <c r="F1" s="137"/>
      <c r="G1" s="137"/>
      <c r="H1" s="137"/>
      <c r="I1" s="137"/>
      <c r="J1" s="137"/>
    </row>
    <row r="2" spans="1:59" x14ac:dyDescent="0.25">
      <c r="A2" s="137"/>
      <c r="B2" s="137"/>
      <c r="C2" s="137"/>
      <c r="D2" s="137"/>
      <c r="E2" s="137"/>
      <c r="F2" s="137"/>
      <c r="G2" s="137"/>
      <c r="H2" s="137"/>
      <c r="I2" s="137"/>
      <c r="J2" s="137"/>
    </row>
    <row r="4" spans="1:59" s="80" customFormat="1" x14ac:dyDescent="0.25">
      <c r="A4" s="135">
        <v>1</v>
      </c>
      <c r="B4" s="135"/>
      <c r="C4" s="135">
        <f>A4+1</f>
        <v>2</v>
      </c>
      <c r="D4" s="135"/>
      <c r="E4" s="135">
        <f t="shared" ref="E4" si="0">C4+1</f>
        <v>3</v>
      </c>
      <c r="F4" s="135"/>
      <c r="G4" s="135">
        <f t="shared" ref="G4" si="1">E4+1</f>
        <v>4</v>
      </c>
      <c r="H4" s="135"/>
      <c r="I4" s="135">
        <f t="shared" ref="I4" si="2">G4+1</f>
        <v>5</v>
      </c>
      <c r="J4" s="135"/>
      <c r="K4" s="135">
        <f t="shared" ref="K4" si="3">I4+1</f>
        <v>6</v>
      </c>
      <c r="L4" s="135"/>
      <c r="M4" s="135">
        <f t="shared" ref="M4" si="4">K4+1</f>
        <v>7</v>
      </c>
      <c r="N4" s="135"/>
      <c r="O4" s="135">
        <f t="shared" ref="O4" si="5">M4+1</f>
        <v>8</v>
      </c>
      <c r="P4" s="135"/>
      <c r="Q4" s="135">
        <f t="shared" ref="Q4" si="6">O4+1</f>
        <v>9</v>
      </c>
      <c r="R4" s="135"/>
      <c r="S4" s="135">
        <f t="shared" ref="S4" si="7">Q4+1</f>
        <v>10</v>
      </c>
      <c r="T4" s="135"/>
      <c r="U4" s="135">
        <f t="shared" ref="U4" si="8">S4+1</f>
        <v>11</v>
      </c>
      <c r="V4" s="135"/>
      <c r="W4" s="135">
        <f t="shared" ref="W4" si="9">U4+1</f>
        <v>12</v>
      </c>
      <c r="X4" s="135"/>
      <c r="Y4" s="135">
        <f t="shared" ref="Y4" si="10">W4+1</f>
        <v>13</v>
      </c>
      <c r="Z4" s="135"/>
      <c r="AA4" s="135">
        <f t="shared" ref="AA4" si="11">Y4+1</f>
        <v>14</v>
      </c>
      <c r="AB4" s="135"/>
      <c r="AC4" s="135">
        <f t="shared" ref="AC4" si="12">AA4+1</f>
        <v>15</v>
      </c>
      <c r="AD4" s="135"/>
      <c r="AE4" s="135">
        <f t="shared" ref="AE4" si="13">AC4+1</f>
        <v>16</v>
      </c>
      <c r="AF4" s="135"/>
      <c r="AG4" s="135">
        <f t="shared" ref="AG4" si="14">AE4+1</f>
        <v>17</v>
      </c>
      <c r="AH4" s="135"/>
      <c r="AI4" s="135">
        <f t="shared" ref="AI4" si="15">AG4+1</f>
        <v>18</v>
      </c>
      <c r="AJ4" s="135"/>
      <c r="AK4" s="135">
        <f t="shared" ref="AK4" si="16">AI4+1</f>
        <v>19</v>
      </c>
      <c r="AL4" s="135"/>
      <c r="AM4" s="135">
        <f t="shared" ref="AM4" si="17">AK4+1</f>
        <v>20</v>
      </c>
      <c r="AN4" s="135"/>
      <c r="BA4" s="136"/>
      <c r="BB4" s="136"/>
      <c r="BC4" s="136"/>
      <c r="BD4" s="136"/>
      <c r="BE4" s="136"/>
      <c r="BF4" s="136"/>
      <c r="BG4" s="81"/>
    </row>
    <row r="5" spans="1:59" ht="120" x14ac:dyDescent="0.25">
      <c r="A5" s="60" t="s">
        <v>114</v>
      </c>
      <c r="B5" s="82">
        <v>3</v>
      </c>
      <c r="C5" s="60" t="s">
        <v>26</v>
      </c>
      <c r="D5" s="82">
        <v>1</v>
      </c>
      <c r="E5" s="60" t="s">
        <v>26</v>
      </c>
      <c r="F5" s="82">
        <v>1</v>
      </c>
      <c r="G5" s="60" t="s">
        <v>26</v>
      </c>
      <c r="H5" s="82">
        <v>1</v>
      </c>
      <c r="I5" s="60" t="s">
        <v>26</v>
      </c>
      <c r="J5" s="82">
        <v>1</v>
      </c>
      <c r="K5" s="60" t="s">
        <v>26</v>
      </c>
      <c r="L5" s="82">
        <v>1</v>
      </c>
      <c r="M5" s="60" t="s">
        <v>26</v>
      </c>
      <c r="N5" s="82">
        <v>1</v>
      </c>
      <c r="O5" s="60" t="s">
        <v>26</v>
      </c>
      <c r="P5" s="82">
        <v>1</v>
      </c>
      <c r="Q5" s="60" t="s">
        <v>26</v>
      </c>
      <c r="R5" s="82">
        <v>1</v>
      </c>
      <c r="S5" s="60" t="s">
        <v>26</v>
      </c>
      <c r="T5" s="82">
        <v>1</v>
      </c>
      <c r="U5" s="60" t="s">
        <v>438</v>
      </c>
      <c r="V5" s="82">
        <v>1</v>
      </c>
      <c r="W5" s="60" t="s">
        <v>28</v>
      </c>
      <c r="X5" s="82">
        <v>1</v>
      </c>
      <c r="Y5" s="60" t="s">
        <v>438</v>
      </c>
      <c r="Z5" s="82">
        <v>1</v>
      </c>
      <c r="AA5" s="60" t="s">
        <v>29</v>
      </c>
      <c r="AB5" s="82">
        <v>1</v>
      </c>
      <c r="AC5" s="60" t="s">
        <v>29</v>
      </c>
      <c r="AD5" s="82">
        <v>1</v>
      </c>
      <c r="AE5" s="60" t="s">
        <v>29</v>
      </c>
      <c r="AF5" s="82">
        <v>1</v>
      </c>
      <c r="AG5" s="60" t="s">
        <v>29</v>
      </c>
      <c r="AH5" s="82">
        <v>1</v>
      </c>
      <c r="AI5" s="60" t="s">
        <v>29</v>
      </c>
      <c r="AJ5" s="82">
        <v>1</v>
      </c>
      <c r="AK5" s="60" t="s">
        <v>29</v>
      </c>
      <c r="AL5" s="82">
        <v>1</v>
      </c>
      <c r="AM5" s="60" t="s">
        <v>29</v>
      </c>
      <c r="AN5" s="82">
        <v>1</v>
      </c>
    </row>
    <row r="6" spans="1:59" ht="75" x14ac:dyDescent="0.25">
      <c r="A6" s="60" t="s">
        <v>154</v>
      </c>
      <c r="B6" s="82">
        <v>2</v>
      </c>
      <c r="C6" s="60" t="s">
        <v>435</v>
      </c>
      <c r="D6" s="82">
        <v>1</v>
      </c>
      <c r="E6" s="60" t="s">
        <v>435</v>
      </c>
      <c r="F6" s="82">
        <v>1</v>
      </c>
      <c r="G6" s="60" t="s">
        <v>435</v>
      </c>
      <c r="H6" s="82">
        <v>1</v>
      </c>
      <c r="I6" s="60" t="s">
        <v>435</v>
      </c>
      <c r="J6" s="82">
        <v>1</v>
      </c>
      <c r="K6" s="60" t="s">
        <v>435</v>
      </c>
      <c r="L6" s="82">
        <v>1</v>
      </c>
      <c r="M6" s="60" t="s">
        <v>435</v>
      </c>
      <c r="N6" s="82">
        <v>1</v>
      </c>
      <c r="O6" s="60" t="s">
        <v>435</v>
      </c>
      <c r="P6" s="82">
        <v>1</v>
      </c>
      <c r="Q6" s="60" t="s">
        <v>435</v>
      </c>
      <c r="R6" s="82">
        <v>1</v>
      </c>
      <c r="S6" s="60" t="s">
        <v>438</v>
      </c>
      <c r="T6" s="82">
        <v>1</v>
      </c>
      <c r="U6" s="60" t="s">
        <v>439</v>
      </c>
      <c r="V6" s="82">
        <v>1</v>
      </c>
      <c r="W6" s="60" t="s">
        <v>438</v>
      </c>
      <c r="X6" s="82">
        <v>1</v>
      </c>
      <c r="Y6" s="60" t="s">
        <v>439</v>
      </c>
      <c r="Z6" s="82">
        <v>1</v>
      </c>
      <c r="AA6" s="60" t="s">
        <v>135</v>
      </c>
      <c r="AB6" s="82">
        <v>1</v>
      </c>
      <c r="AC6" s="60" t="s">
        <v>447</v>
      </c>
      <c r="AD6" s="82">
        <v>1</v>
      </c>
      <c r="AE6" s="60" t="s">
        <v>447</v>
      </c>
      <c r="AF6" s="82">
        <v>1</v>
      </c>
      <c r="AG6" s="60" t="s">
        <v>447</v>
      </c>
      <c r="AH6" s="82">
        <v>1</v>
      </c>
      <c r="AI6" s="60" t="s">
        <v>447</v>
      </c>
      <c r="AJ6" s="82">
        <v>1</v>
      </c>
      <c r="AK6" s="60" t="s">
        <v>447</v>
      </c>
      <c r="AL6" s="82">
        <v>1</v>
      </c>
      <c r="AM6" s="60" t="s">
        <v>193</v>
      </c>
      <c r="AN6" s="82">
        <v>1</v>
      </c>
    </row>
    <row r="7" spans="1:59" ht="75" x14ac:dyDescent="0.25">
      <c r="A7" s="60" t="s">
        <v>309</v>
      </c>
      <c r="B7" s="82">
        <v>1</v>
      </c>
      <c r="C7" s="60" t="s">
        <v>153</v>
      </c>
      <c r="D7" s="82">
        <v>1</v>
      </c>
      <c r="E7" s="60" t="s">
        <v>134</v>
      </c>
      <c r="F7" s="82">
        <v>1</v>
      </c>
      <c r="G7" s="60" t="s">
        <v>58</v>
      </c>
      <c r="H7" s="82">
        <v>1</v>
      </c>
      <c r="I7" s="60" t="s">
        <v>189</v>
      </c>
      <c r="J7" s="82">
        <v>1</v>
      </c>
      <c r="K7" s="60" t="s">
        <v>189</v>
      </c>
      <c r="L7" s="82">
        <v>1</v>
      </c>
      <c r="M7" s="60" t="s">
        <v>59</v>
      </c>
      <c r="N7" s="82">
        <v>1</v>
      </c>
      <c r="O7" s="60" t="s">
        <v>436</v>
      </c>
      <c r="P7" s="82">
        <v>5</v>
      </c>
      <c r="Q7" s="60" t="s">
        <v>437</v>
      </c>
      <c r="R7" s="82">
        <v>1</v>
      </c>
      <c r="S7" s="60" t="s">
        <v>440</v>
      </c>
      <c r="T7" s="82">
        <v>1</v>
      </c>
      <c r="U7" s="60" t="s">
        <v>1064</v>
      </c>
      <c r="V7" s="82">
        <v>1</v>
      </c>
      <c r="W7" s="60" t="s">
        <v>439</v>
      </c>
      <c r="X7" s="82">
        <v>1</v>
      </c>
      <c r="Y7" s="60" t="s">
        <v>440</v>
      </c>
      <c r="Z7" s="82">
        <v>1</v>
      </c>
      <c r="AA7" s="60" t="s">
        <v>1068</v>
      </c>
      <c r="AB7" s="82">
        <v>1</v>
      </c>
      <c r="AC7" s="60" t="s">
        <v>1066</v>
      </c>
      <c r="AD7" s="82">
        <v>1</v>
      </c>
      <c r="AE7" s="60" t="s">
        <v>1066</v>
      </c>
      <c r="AF7" s="82">
        <v>1</v>
      </c>
      <c r="AG7" s="60" t="s">
        <v>448</v>
      </c>
      <c r="AH7" s="82">
        <v>3</v>
      </c>
      <c r="AI7" s="60" t="s">
        <v>449</v>
      </c>
      <c r="AJ7" s="82">
        <v>1</v>
      </c>
      <c r="AK7" s="60" t="s">
        <v>449</v>
      </c>
      <c r="AL7" s="82">
        <v>1</v>
      </c>
      <c r="AM7" s="60" t="s">
        <v>450</v>
      </c>
      <c r="AN7" s="82">
        <v>1</v>
      </c>
    </row>
    <row r="8" spans="1:59" ht="165" x14ac:dyDescent="0.25">
      <c r="A8" s="61" t="s">
        <v>577</v>
      </c>
      <c r="B8" s="82">
        <v>2</v>
      </c>
      <c r="C8" s="61" t="s">
        <v>224</v>
      </c>
      <c r="D8" s="82">
        <v>1</v>
      </c>
      <c r="E8" s="61" t="s">
        <v>155</v>
      </c>
      <c r="F8" s="82">
        <v>1</v>
      </c>
      <c r="G8" s="61" t="s">
        <v>115</v>
      </c>
      <c r="H8" s="82">
        <v>1</v>
      </c>
      <c r="I8" s="61" t="s">
        <v>281</v>
      </c>
      <c r="J8" s="82">
        <v>1</v>
      </c>
      <c r="K8" s="61" t="s">
        <v>281</v>
      </c>
      <c r="L8" s="82">
        <v>1</v>
      </c>
      <c r="M8" s="61" t="s">
        <v>94</v>
      </c>
      <c r="N8" s="82">
        <v>1</v>
      </c>
      <c r="O8" s="61" t="s">
        <v>451</v>
      </c>
      <c r="P8" s="82">
        <v>1</v>
      </c>
      <c r="Q8" s="61" t="s">
        <v>438</v>
      </c>
      <c r="R8" s="82">
        <v>1</v>
      </c>
      <c r="S8" s="61" t="s">
        <v>259</v>
      </c>
      <c r="T8" s="82">
        <v>1</v>
      </c>
      <c r="U8" s="61" t="s">
        <v>440</v>
      </c>
      <c r="V8" s="82">
        <v>1</v>
      </c>
      <c r="W8" s="61" t="s">
        <v>61</v>
      </c>
      <c r="X8" s="82">
        <v>1</v>
      </c>
      <c r="Y8" s="61" t="s">
        <v>443</v>
      </c>
      <c r="Z8" s="82">
        <v>1</v>
      </c>
      <c r="AA8" s="61" t="s">
        <v>312</v>
      </c>
      <c r="AB8" s="82">
        <v>1</v>
      </c>
      <c r="AC8" s="61" t="s">
        <v>1067</v>
      </c>
      <c r="AD8" s="82">
        <v>1</v>
      </c>
      <c r="AE8" s="61" t="s">
        <v>96</v>
      </c>
      <c r="AF8" s="82">
        <v>1</v>
      </c>
      <c r="AG8" s="61" t="s">
        <v>97</v>
      </c>
      <c r="AH8" s="82">
        <v>1</v>
      </c>
      <c r="AI8" s="61" t="s">
        <v>262</v>
      </c>
      <c r="AJ8" s="82">
        <v>1</v>
      </c>
      <c r="AK8" s="61" t="s">
        <v>63</v>
      </c>
      <c r="AL8" s="82">
        <v>1</v>
      </c>
      <c r="AM8" s="61" t="s">
        <v>288</v>
      </c>
      <c r="AN8" s="82">
        <v>1</v>
      </c>
    </row>
    <row r="9" spans="1:59" ht="90" x14ac:dyDescent="0.25">
      <c r="B9" s="82"/>
      <c r="C9" s="61" t="s">
        <v>577</v>
      </c>
      <c r="D9" s="82">
        <v>1</v>
      </c>
      <c r="E9" s="60" t="s">
        <v>564</v>
      </c>
      <c r="F9" s="82">
        <v>1</v>
      </c>
      <c r="G9" s="60" t="s">
        <v>156</v>
      </c>
      <c r="H9" s="82">
        <v>2</v>
      </c>
      <c r="I9" s="60" t="s">
        <v>310</v>
      </c>
      <c r="J9" s="82">
        <v>1</v>
      </c>
      <c r="K9" s="60" t="s">
        <v>94</v>
      </c>
      <c r="L9" s="82">
        <v>1</v>
      </c>
      <c r="M9" s="60" t="s">
        <v>438</v>
      </c>
      <c r="N9" s="82">
        <v>1</v>
      </c>
      <c r="O9" s="60" t="s">
        <v>438</v>
      </c>
      <c r="P9" s="82">
        <v>1</v>
      </c>
      <c r="Q9" s="60" t="s">
        <v>60</v>
      </c>
      <c r="R9" s="82">
        <v>1</v>
      </c>
      <c r="S9" s="60" t="s">
        <v>258</v>
      </c>
      <c r="T9" s="82">
        <v>1</v>
      </c>
      <c r="U9" s="60" t="s">
        <v>282</v>
      </c>
      <c r="V9" s="82">
        <v>1</v>
      </c>
      <c r="W9" s="60" t="s">
        <v>440</v>
      </c>
      <c r="X9" s="82">
        <v>1</v>
      </c>
      <c r="Y9" s="60" t="s">
        <v>282</v>
      </c>
      <c r="Z9" s="82">
        <v>1</v>
      </c>
      <c r="AA9" s="60" t="s">
        <v>225</v>
      </c>
      <c r="AB9" s="82">
        <v>1</v>
      </c>
      <c r="AC9" s="60" t="s">
        <v>1068</v>
      </c>
      <c r="AD9" s="82">
        <v>1</v>
      </c>
      <c r="AE9" s="60" t="s">
        <v>1069</v>
      </c>
      <c r="AF9" s="82">
        <v>1</v>
      </c>
      <c r="AG9" s="60" t="s">
        <v>118</v>
      </c>
      <c r="AH9" s="82">
        <v>1</v>
      </c>
      <c r="AI9" s="60" t="s">
        <v>285</v>
      </c>
      <c r="AJ9" s="82">
        <v>1</v>
      </c>
      <c r="AK9" s="60" t="s">
        <v>98</v>
      </c>
      <c r="AL9" s="82">
        <v>1</v>
      </c>
      <c r="AM9" s="60" t="s">
        <v>225</v>
      </c>
      <c r="AN9" s="82">
        <v>1</v>
      </c>
    </row>
    <row r="10" spans="1:59" ht="90" x14ac:dyDescent="0.25">
      <c r="B10" s="82"/>
      <c r="C10" s="60" t="s">
        <v>589</v>
      </c>
      <c r="D10" s="82">
        <v>1</v>
      </c>
      <c r="E10" s="61" t="s">
        <v>577</v>
      </c>
      <c r="F10" s="82">
        <v>1</v>
      </c>
      <c r="G10" s="60" t="s">
        <v>189</v>
      </c>
      <c r="H10" s="82">
        <v>1</v>
      </c>
      <c r="I10" s="60" t="s">
        <v>94</v>
      </c>
      <c r="J10" s="82">
        <v>1</v>
      </c>
      <c r="K10" s="60" t="s">
        <v>438</v>
      </c>
      <c r="L10" s="82">
        <v>1</v>
      </c>
      <c r="M10" s="60" t="s">
        <v>159</v>
      </c>
      <c r="N10" s="82">
        <v>1</v>
      </c>
      <c r="O10" s="60" t="s">
        <v>442</v>
      </c>
      <c r="P10" s="82">
        <v>1</v>
      </c>
      <c r="Q10" s="60" t="s">
        <v>160</v>
      </c>
      <c r="R10" s="82">
        <v>1</v>
      </c>
      <c r="S10" s="60" t="s">
        <v>181</v>
      </c>
      <c r="T10" s="82">
        <v>1</v>
      </c>
      <c r="U10" s="60" t="s">
        <v>1123</v>
      </c>
      <c r="V10" s="82">
        <v>1</v>
      </c>
      <c r="W10" s="60" t="s">
        <v>441</v>
      </c>
      <c r="X10" s="82">
        <v>1</v>
      </c>
      <c r="Y10" s="60" t="s">
        <v>445</v>
      </c>
      <c r="Z10" s="82">
        <v>1</v>
      </c>
      <c r="AA10" s="60" t="s">
        <v>553</v>
      </c>
      <c r="AB10" s="82">
        <v>1</v>
      </c>
      <c r="AC10" s="60" t="s">
        <v>225</v>
      </c>
      <c r="AD10" s="82">
        <v>1</v>
      </c>
      <c r="AE10" s="60" t="s">
        <v>182</v>
      </c>
      <c r="AF10" s="82">
        <v>1</v>
      </c>
      <c r="AG10" s="60" t="s">
        <v>192</v>
      </c>
      <c r="AH10" s="82">
        <v>1</v>
      </c>
      <c r="AI10" s="60" t="s">
        <v>314</v>
      </c>
      <c r="AJ10" s="82">
        <v>1</v>
      </c>
      <c r="AK10" s="60" t="s">
        <v>183</v>
      </c>
      <c r="AL10" s="82">
        <v>2</v>
      </c>
      <c r="AM10" s="60" t="s">
        <v>556</v>
      </c>
      <c r="AN10" s="82">
        <v>1</v>
      </c>
    </row>
    <row r="11" spans="1:59" ht="75" x14ac:dyDescent="0.25">
      <c r="B11" s="82"/>
      <c r="C11" s="60" t="s">
        <v>764</v>
      </c>
      <c r="D11" s="82">
        <v>1</v>
      </c>
      <c r="E11" s="60"/>
      <c r="F11" s="82"/>
      <c r="G11" s="60" t="s">
        <v>231</v>
      </c>
      <c r="H11" s="82">
        <v>1</v>
      </c>
      <c r="I11" s="60" t="s">
        <v>157</v>
      </c>
      <c r="J11" s="82">
        <v>1</v>
      </c>
      <c r="K11" s="60" t="s">
        <v>158</v>
      </c>
      <c r="L11" s="82">
        <v>1</v>
      </c>
      <c r="M11" s="60" t="s">
        <v>225</v>
      </c>
      <c r="N11" s="82">
        <v>1</v>
      </c>
      <c r="O11" s="60" t="s">
        <v>311</v>
      </c>
      <c r="P11" s="82">
        <v>1</v>
      </c>
      <c r="Q11" s="60" t="s">
        <v>259</v>
      </c>
      <c r="R11" s="82">
        <v>1</v>
      </c>
      <c r="S11" s="60" t="s">
        <v>282</v>
      </c>
      <c r="T11" s="82">
        <v>1</v>
      </c>
      <c r="U11" s="60" t="s">
        <v>190</v>
      </c>
      <c r="V11" s="82">
        <v>1</v>
      </c>
      <c r="W11" s="60" t="s">
        <v>443</v>
      </c>
      <c r="X11" s="82">
        <v>1</v>
      </c>
      <c r="Y11" s="60" t="s">
        <v>446</v>
      </c>
      <c r="Z11" s="82">
        <v>1</v>
      </c>
      <c r="AA11" s="60" t="s">
        <v>1065</v>
      </c>
      <c r="AB11" s="82">
        <v>1</v>
      </c>
      <c r="AC11" s="60" t="s">
        <v>884</v>
      </c>
      <c r="AD11" s="82">
        <v>1</v>
      </c>
      <c r="AE11" s="60" t="s">
        <v>192</v>
      </c>
      <c r="AF11" s="82">
        <v>1</v>
      </c>
      <c r="AG11" s="60" t="s">
        <v>286</v>
      </c>
      <c r="AH11" s="82">
        <v>1</v>
      </c>
      <c r="AI11" s="60" t="s">
        <v>225</v>
      </c>
      <c r="AJ11" s="82">
        <v>1</v>
      </c>
      <c r="AK11" s="60" t="s">
        <v>193</v>
      </c>
      <c r="AL11" s="82">
        <v>1</v>
      </c>
      <c r="AM11" s="60" t="s">
        <v>1071</v>
      </c>
      <c r="AN11" s="82">
        <v>1</v>
      </c>
    </row>
    <row r="12" spans="1:59" ht="165" x14ac:dyDescent="0.25">
      <c r="B12" s="82"/>
      <c r="C12" s="61" t="s">
        <v>788</v>
      </c>
      <c r="D12" s="82">
        <v>1</v>
      </c>
      <c r="F12" s="82"/>
      <c r="G12" s="61" t="s">
        <v>281</v>
      </c>
      <c r="H12" s="82">
        <v>1</v>
      </c>
      <c r="I12" s="60" t="s">
        <v>225</v>
      </c>
      <c r="J12" s="82">
        <v>1</v>
      </c>
      <c r="K12" s="60" t="s">
        <v>225</v>
      </c>
      <c r="L12" s="82"/>
      <c r="M12" s="61" t="s">
        <v>530</v>
      </c>
      <c r="N12" s="82">
        <v>1</v>
      </c>
      <c r="O12" s="60" t="s">
        <v>282</v>
      </c>
      <c r="P12" s="82">
        <v>1</v>
      </c>
      <c r="Q12" s="60" t="s">
        <v>257</v>
      </c>
      <c r="R12" s="82">
        <v>1</v>
      </c>
      <c r="S12" s="60" t="s">
        <v>312</v>
      </c>
      <c r="T12" s="82">
        <v>1</v>
      </c>
      <c r="U12" s="60" t="s">
        <v>312</v>
      </c>
      <c r="V12" s="82">
        <v>1</v>
      </c>
      <c r="W12" s="60" t="s">
        <v>282</v>
      </c>
      <c r="X12" s="82">
        <v>1</v>
      </c>
      <c r="Y12" s="60" t="s">
        <v>312</v>
      </c>
      <c r="Z12" s="82">
        <v>1</v>
      </c>
      <c r="AA12" s="60" t="s">
        <v>808</v>
      </c>
      <c r="AB12" s="82">
        <v>1</v>
      </c>
      <c r="AC12" s="60" t="s">
        <v>885</v>
      </c>
      <c r="AD12" s="82">
        <v>1</v>
      </c>
      <c r="AE12" s="60" t="s">
        <v>232</v>
      </c>
      <c r="AF12" s="82">
        <v>1</v>
      </c>
      <c r="AG12" s="60" t="s">
        <v>313</v>
      </c>
      <c r="AH12" s="82">
        <v>1</v>
      </c>
      <c r="AI12" s="60" t="s">
        <v>884</v>
      </c>
      <c r="AJ12" s="82">
        <v>1</v>
      </c>
      <c r="AK12" s="60" t="s">
        <v>450</v>
      </c>
      <c r="AL12" s="82">
        <v>1</v>
      </c>
      <c r="AM12" s="60" t="s">
        <v>1115</v>
      </c>
      <c r="AN12" s="82">
        <v>1</v>
      </c>
    </row>
    <row r="13" spans="1:59" ht="45" customHeight="1" x14ac:dyDescent="0.25">
      <c r="B13" s="82"/>
      <c r="C13" s="60"/>
      <c r="D13" s="82"/>
      <c r="E13" s="60"/>
      <c r="F13" s="82"/>
      <c r="G13" s="60" t="s">
        <v>310</v>
      </c>
      <c r="H13" s="82">
        <v>1</v>
      </c>
      <c r="I13" s="60" t="s">
        <v>530</v>
      </c>
      <c r="J13" s="82">
        <v>1</v>
      </c>
      <c r="K13" s="60" t="s">
        <v>530</v>
      </c>
      <c r="L13" s="82">
        <v>1</v>
      </c>
      <c r="M13" s="60" t="s">
        <v>566</v>
      </c>
      <c r="N13" s="82">
        <v>1</v>
      </c>
      <c r="O13" s="60" t="s">
        <v>225</v>
      </c>
      <c r="P13" s="82">
        <v>1</v>
      </c>
      <c r="Q13" s="60" t="s">
        <v>282</v>
      </c>
      <c r="R13" s="82">
        <v>1</v>
      </c>
      <c r="S13" s="60" t="s">
        <v>225</v>
      </c>
      <c r="T13" s="82">
        <v>1</v>
      </c>
      <c r="U13" s="60" t="s">
        <v>225</v>
      </c>
      <c r="V13" s="82">
        <v>1</v>
      </c>
      <c r="W13" s="60" t="s">
        <v>1123</v>
      </c>
      <c r="X13" s="82">
        <v>1</v>
      </c>
      <c r="Y13" s="60" t="s">
        <v>225</v>
      </c>
      <c r="Z13" s="82">
        <v>1</v>
      </c>
      <c r="AA13" s="60"/>
      <c r="AB13" s="82"/>
      <c r="AC13" s="60" t="s">
        <v>597</v>
      </c>
      <c r="AD13" s="82">
        <v>1</v>
      </c>
      <c r="AE13" s="60" t="s">
        <v>261</v>
      </c>
      <c r="AF13" s="82">
        <v>1</v>
      </c>
      <c r="AG13" s="60" t="s">
        <v>225</v>
      </c>
      <c r="AH13" s="82">
        <v>1</v>
      </c>
      <c r="AI13" s="60" t="s">
        <v>885</v>
      </c>
      <c r="AJ13" s="82">
        <v>1</v>
      </c>
      <c r="AK13" s="60" t="s">
        <v>263</v>
      </c>
      <c r="AL13" s="82">
        <v>1</v>
      </c>
      <c r="AM13" s="60" t="s">
        <v>813</v>
      </c>
      <c r="AN13" s="82">
        <v>1</v>
      </c>
    </row>
    <row r="14" spans="1:59" ht="75" x14ac:dyDescent="0.25">
      <c r="B14" s="82"/>
      <c r="C14" s="60"/>
      <c r="D14" s="82"/>
      <c r="E14" s="60"/>
      <c r="F14" s="82"/>
      <c r="G14" s="60" t="s">
        <v>225</v>
      </c>
      <c r="H14" s="82"/>
      <c r="I14" s="60" t="s">
        <v>548</v>
      </c>
      <c r="J14" s="82">
        <v>1</v>
      </c>
      <c r="K14" s="60" t="s">
        <v>578</v>
      </c>
      <c r="L14" s="82">
        <v>1</v>
      </c>
      <c r="M14" s="60" t="s">
        <v>578</v>
      </c>
      <c r="N14" s="82">
        <v>1</v>
      </c>
      <c r="O14" s="60" t="s">
        <v>549</v>
      </c>
      <c r="P14" s="82">
        <v>1</v>
      </c>
      <c r="Q14" s="60" t="s">
        <v>225</v>
      </c>
      <c r="R14" s="82">
        <v>1</v>
      </c>
      <c r="S14" s="60" t="s">
        <v>530</v>
      </c>
      <c r="T14" s="82">
        <v>1</v>
      </c>
      <c r="U14" s="60" t="s">
        <v>530</v>
      </c>
      <c r="V14" s="82">
        <v>1</v>
      </c>
      <c r="W14" s="60" t="s">
        <v>191</v>
      </c>
      <c r="X14" s="82">
        <v>1</v>
      </c>
      <c r="Y14" s="60" t="s">
        <v>530</v>
      </c>
      <c r="Z14" s="82">
        <v>1</v>
      </c>
      <c r="AA14" s="60"/>
      <c r="AB14" s="82"/>
      <c r="AC14" s="60" t="s">
        <v>809</v>
      </c>
      <c r="AD14" s="82">
        <v>1</v>
      </c>
      <c r="AE14" s="60" t="s">
        <v>1070</v>
      </c>
      <c r="AF14" s="82">
        <v>1</v>
      </c>
      <c r="AG14" s="60" t="s">
        <v>884</v>
      </c>
      <c r="AH14" s="82">
        <v>1</v>
      </c>
      <c r="AI14" s="60" t="s">
        <v>555</v>
      </c>
      <c r="AJ14" s="82">
        <v>1</v>
      </c>
      <c r="AK14" s="60" t="s">
        <v>288</v>
      </c>
      <c r="AL14" s="82">
        <v>1</v>
      </c>
      <c r="AM14" s="60"/>
      <c r="AN14" s="82"/>
    </row>
    <row r="15" spans="1:59" ht="120" x14ac:dyDescent="0.25">
      <c r="B15" s="82"/>
      <c r="C15" s="60"/>
      <c r="D15" s="82"/>
      <c r="E15" s="60"/>
      <c r="F15" s="82"/>
      <c r="G15" s="60" t="s">
        <v>530</v>
      </c>
      <c r="H15" s="82">
        <v>1</v>
      </c>
      <c r="I15" s="60" t="s">
        <v>590</v>
      </c>
      <c r="J15" s="82">
        <v>1</v>
      </c>
      <c r="K15" s="60" t="s">
        <v>789</v>
      </c>
      <c r="L15" s="82">
        <v>1</v>
      </c>
      <c r="M15" s="60" t="s">
        <v>592</v>
      </c>
      <c r="N15" s="82">
        <v>1</v>
      </c>
      <c r="O15" s="60" t="s">
        <v>566</v>
      </c>
      <c r="P15" s="82">
        <v>1</v>
      </c>
      <c r="Q15" s="60" t="s">
        <v>919</v>
      </c>
      <c r="R15" s="82">
        <v>1</v>
      </c>
      <c r="S15" s="60" t="s">
        <v>566</v>
      </c>
      <c r="T15" s="82">
        <v>1</v>
      </c>
      <c r="U15" s="60" t="s">
        <v>883</v>
      </c>
      <c r="V15" s="82">
        <v>1</v>
      </c>
      <c r="W15" s="60" t="s">
        <v>260</v>
      </c>
      <c r="X15" s="82">
        <v>1</v>
      </c>
      <c r="Y15" s="60" t="s">
        <v>552</v>
      </c>
      <c r="Z15" s="82">
        <v>1</v>
      </c>
      <c r="AA15" s="60"/>
      <c r="AB15" s="82"/>
      <c r="AC15" s="60" t="s">
        <v>856</v>
      </c>
      <c r="AD15" s="82">
        <v>1</v>
      </c>
      <c r="AE15" s="60" t="s">
        <v>313</v>
      </c>
      <c r="AF15" s="82">
        <v>1</v>
      </c>
      <c r="AG15" s="60" t="s">
        <v>885</v>
      </c>
      <c r="AH15" s="82">
        <v>1</v>
      </c>
      <c r="AI15" s="60" t="s">
        <v>566</v>
      </c>
      <c r="AJ15" s="82">
        <v>1</v>
      </c>
      <c r="AK15" s="60" t="s">
        <v>314</v>
      </c>
      <c r="AL15" s="82">
        <v>1</v>
      </c>
      <c r="AM15" s="60"/>
      <c r="AN15" s="82"/>
    </row>
    <row r="16" spans="1:59" ht="180" x14ac:dyDescent="0.25">
      <c r="B16" s="82"/>
      <c r="D16" s="82"/>
      <c r="F16" s="82"/>
      <c r="G16" s="61" t="s">
        <v>565</v>
      </c>
      <c r="H16" s="82">
        <v>1</v>
      </c>
      <c r="I16" s="61" t="s">
        <v>738</v>
      </c>
      <c r="J16" s="82">
        <v>1</v>
      </c>
      <c r="L16" s="82"/>
      <c r="M16" s="61" t="s">
        <v>803</v>
      </c>
      <c r="N16" s="60">
        <v>1</v>
      </c>
      <c r="O16" s="62" t="s">
        <v>578</v>
      </c>
      <c r="P16" s="82">
        <v>1</v>
      </c>
      <c r="Q16" s="60" t="s">
        <v>566</v>
      </c>
      <c r="R16" s="82">
        <v>1</v>
      </c>
      <c r="S16" s="60" t="s">
        <v>578</v>
      </c>
      <c r="T16" s="82">
        <v>1</v>
      </c>
      <c r="U16" s="60" t="s">
        <v>566</v>
      </c>
      <c r="V16" s="82">
        <v>1</v>
      </c>
      <c r="W16" s="62" t="s">
        <v>467</v>
      </c>
      <c r="X16" s="82">
        <v>1</v>
      </c>
      <c r="Y16" s="60" t="s">
        <v>566</v>
      </c>
      <c r="Z16" s="82">
        <v>1</v>
      </c>
      <c r="AA16" s="62"/>
      <c r="AB16" s="82"/>
      <c r="AC16" s="62"/>
      <c r="AD16" s="82"/>
      <c r="AE16" s="62" t="s">
        <v>468</v>
      </c>
      <c r="AF16" s="82">
        <v>1</v>
      </c>
      <c r="AG16" s="60" t="s">
        <v>566</v>
      </c>
      <c r="AH16" s="82">
        <v>1</v>
      </c>
      <c r="AI16" s="62" t="s">
        <v>599</v>
      </c>
      <c r="AJ16" s="82">
        <v>1</v>
      </c>
      <c r="AK16" s="62" t="s">
        <v>468</v>
      </c>
      <c r="AL16" s="82">
        <v>1</v>
      </c>
      <c r="AM16" s="62"/>
      <c r="AN16" s="82"/>
    </row>
    <row r="17" spans="1:47" ht="75" x14ac:dyDescent="0.25">
      <c r="B17" s="82"/>
      <c r="D17" s="82"/>
      <c r="F17" s="82"/>
      <c r="G17" s="61" t="s">
        <v>738</v>
      </c>
      <c r="H17" s="82">
        <v>1</v>
      </c>
      <c r="I17" s="61" t="s">
        <v>1113</v>
      </c>
      <c r="J17" s="82">
        <v>1</v>
      </c>
      <c r="L17" s="82"/>
      <c r="N17" s="82"/>
      <c r="O17" s="61" t="s">
        <v>765</v>
      </c>
      <c r="P17" s="82">
        <v>1</v>
      </c>
      <c r="Q17" s="60" t="s">
        <v>578</v>
      </c>
      <c r="R17" s="82">
        <v>1</v>
      </c>
      <c r="S17" s="61" t="s">
        <v>739</v>
      </c>
      <c r="T17" s="82">
        <v>1</v>
      </c>
      <c r="U17" s="61" t="s">
        <v>594</v>
      </c>
      <c r="V17" s="82">
        <v>1</v>
      </c>
      <c r="W17" s="61" t="s">
        <v>468</v>
      </c>
      <c r="X17" s="82">
        <v>1</v>
      </c>
      <c r="Y17" s="61" t="s">
        <v>790</v>
      </c>
      <c r="Z17" s="82">
        <v>1</v>
      </c>
      <c r="AB17" s="82"/>
      <c r="AD17" s="82"/>
      <c r="AE17" s="61" t="s">
        <v>884</v>
      </c>
      <c r="AF17" s="82">
        <v>1</v>
      </c>
      <c r="AG17" s="61" t="s">
        <v>810</v>
      </c>
      <c r="AH17" s="82">
        <v>3</v>
      </c>
      <c r="AI17" s="61" t="s">
        <v>811</v>
      </c>
      <c r="AJ17" s="82">
        <v>1</v>
      </c>
      <c r="AK17" s="61" t="s">
        <v>884</v>
      </c>
      <c r="AL17" s="82">
        <v>1</v>
      </c>
      <c r="AN17" s="82"/>
    </row>
    <row r="18" spans="1:47" ht="120" x14ac:dyDescent="0.25">
      <c r="B18" s="82"/>
      <c r="D18" s="82"/>
      <c r="F18" s="82"/>
      <c r="G18" s="61" t="s">
        <v>1113</v>
      </c>
      <c r="H18" s="82">
        <v>1</v>
      </c>
      <c r="I18" s="61" t="s">
        <v>802</v>
      </c>
      <c r="J18" s="82">
        <v>1</v>
      </c>
      <c r="L18" s="82"/>
      <c r="N18" s="82"/>
      <c r="P18" s="82"/>
      <c r="Q18" s="61" t="s">
        <v>739</v>
      </c>
      <c r="R18" s="82">
        <v>1</v>
      </c>
      <c r="S18" s="61" t="s">
        <v>855</v>
      </c>
      <c r="T18" s="82">
        <v>1</v>
      </c>
      <c r="U18" s="61" t="s">
        <v>740</v>
      </c>
      <c r="V18" s="82">
        <v>1</v>
      </c>
      <c r="W18" s="61" t="s">
        <v>530</v>
      </c>
      <c r="X18" s="82">
        <v>1</v>
      </c>
      <c r="Y18" s="61" t="s">
        <v>807</v>
      </c>
      <c r="Z18" s="82">
        <v>1</v>
      </c>
      <c r="AB18" s="82"/>
      <c r="AD18" s="82"/>
      <c r="AE18" s="61" t="s">
        <v>885</v>
      </c>
      <c r="AF18" s="82">
        <v>1</v>
      </c>
      <c r="AH18" s="82"/>
      <c r="AI18" s="61" t="s">
        <v>857</v>
      </c>
      <c r="AJ18" s="82">
        <v>1</v>
      </c>
      <c r="AK18" s="61" t="s">
        <v>885</v>
      </c>
      <c r="AL18" s="82">
        <v>1</v>
      </c>
      <c r="AN18" s="82"/>
    </row>
    <row r="19" spans="1:47" ht="90" x14ac:dyDescent="0.25">
      <c r="B19" s="82"/>
      <c r="D19" s="82"/>
      <c r="F19" s="82"/>
      <c r="G19" s="61" t="s">
        <v>789</v>
      </c>
      <c r="H19" s="82">
        <v>1</v>
      </c>
      <c r="I19" s="61" t="s">
        <v>854</v>
      </c>
      <c r="J19" s="82">
        <v>1</v>
      </c>
      <c r="L19" s="82"/>
      <c r="N19" s="82"/>
      <c r="P19" s="82"/>
      <c r="Q19" s="60" t="s">
        <v>795</v>
      </c>
      <c r="R19" s="82">
        <v>1</v>
      </c>
      <c r="S19" s="60"/>
      <c r="T19" s="82"/>
      <c r="U19" s="60" t="s">
        <v>766</v>
      </c>
      <c r="V19" s="82">
        <v>1</v>
      </c>
      <c r="W19" s="60" t="s">
        <v>883</v>
      </c>
      <c r="X19" s="82">
        <v>1</v>
      </c>
      <c r="Y19" s="60"/>
      <c r="Z19" s="82"/>
      <c r="AA19" s="60"/>
      <c r="AB19" s="82"/>
      <c r="AC19" s="60"/>
      <c r="AD19" s="82"/>
      <c r="AE19" s="60" t="s">
        <v>566</v>
      </c>
      <c r="AF19" s="82">
        <v>1</v>
      </c>
      <c r="AG19" s="60"/>
      <c r="AH19" s="82"/>
      <c r="AI19" s="60"/>
      <c r="AJ19" s="82"/>
      <c r="AK19" s="60" t="s">
        <v>886</v>
      </c>
      <c r="AL19" s="82">
        <v>1</v>
      </c>
      <c r="AM19" s="60"/>
      <c r="AN19" s="82"/>
    </row>
    <row r="20" spans="1:47" ht="75" x14ac:dyDescent="0.25">
      <c r="B20" s="82"/>
      <c r="D20" s="82"/>
      <c r="F20" s="82"/>
      <c r="G20" s="61" t="s">
        <v>802</v>
      </c>
      <c r="H20" s="82">
        <v>1</v>
      </c>
      <c r="J20" s="82"/>
      <c r="L20" s="82"/>
      <c r="N20" s="82"/>
      <c r="P20" s="82"/>
      <c r="Q20" s="60"/>
      <c r="R20" s="82"/>
      <c r="S20" s="60"/>
      <c r="T20" s="82"/>
      <c r="U20" s="60" t="s">
        <v>805</v>
      </c>
      <c r="V20" s="82">
        <v>1</v>
      </c>
      <c r="W20" s="60" t="s">
        <v>566</v>
      </c>
      <c r="X20" s="82">
        <v>1</v>
      </c>
      <c r="Y20" s="60"/>
      <c r="Z20" s="82"/>
      <c r="AA20" s="60"/>
      <c r="AB20" s="82"/>
      <c r="AC20" s="60"/>
      <c r="AD20" s="82"/>
      <c r="AE20" s="60" t="s">
        <v>598</v>
      </c>
      <c r="AF20" s="82">
        <v>1</v>
      </c>
      <c r="AG20" s="60"/>
      <c r="AH20" s="82"/>
      <c r="AI20" s="60"/>
      <c r="AJ20" s="82"/>
      <c r="AK20" s="60" t="s">
        <v>556</v>
      </c>
      <c r="AL20" s="82">
        <v>1</v>
      </c>
      <c r="AM20" s="60"/>
      <c r="AN20" s="82"/>
    </row>
    <row r="21" spans="1:47" ht="150" x14ac:dyDescent="0.25">
      <c r="B21" s="82"/>
      <c r="D21" s="82"/>
      <c r="F21" s="82"/>
      <c r="H21" s="82"/>
      <c r="J21" s="82"/>
      <c r="L21" s="82"/>
      <c r="N21" s="82"/>
      <c r="P21" s="82"/>
      <c r="Q21" s="60"/>
      <c r="R21" s="82"/>
      <c r="S21" s="60"/>
      <c r="T21" s="60"/>
      <c r="U21" s="62" t="s">
        <v>855</v>
      </c>
      <c r="V21" s="82">
        <v>1</v>
      </c>
      <c r="W21" s="60" t="s">
        <v>595</v>
      </c>
      <c r="X21" s="82">
        <v>1</v>
      </c>
      <c r="Y21" s="60"/>
      <c r="Z21" s="82"/>
      <c r="AA21" s="60"/>
      <c r="AB21" s="82"/>
      <c r="AC21" s="60"/>
      <c r="AD21" s="82"/>
      <c r="AE21" s="60" t="s">
        <v>1118</v>
      </c>
      <c r="AF21" s="82">
        <v>1</v>
      </c>
      <c r="AG21" s="60"/>
      <c r="AH21" s="82"/>
      <c r="AI21" s="60"/>
      <c r="AJ21" s="82"/>
      <c r="AK21" s="60" t="s">
        <v>567</v>
      </c>
      <c r="AL21" s="82">
        <v>1</v>
      </c>
      <c r="AM21" s="60"/>
      <c r="AN21" s="82"/>
    </row>
    <row r="22" spans="1:47" ht="60" x14ac:dyDescent="0.25">
      <c r="B22" s="82"/>
      <c r="D22" s="82"/>
      <c r="F22" s="82"/>
      <c r="H22" s="82"/>
      <c r="J22" s="82"/>
      <c r="L22" s="82"/>
      <c r="N22" s="82"/>
      <c r="P22" s="82"/>
      <c r="Q22" s="60"/>
      <c r="R22" s="82"/>
      <c r="S22" s="60"/>
      <c r="T22" s="60"/>
      <c r="U22" s="62"/>
      <c r="V22" s="82"/>
      <c r="W22" s="60" t="s">
        <v>741</v>
      </c>
      <c r="X22" s="82">
        <v>1</v>
      </c>
      <c r="Y22" s="60"/>
      <c r="Z22" s="82"/>
      <c r="AA22" s="60"/>
      <c r="AB22" s="82"/>
      <c r="AC22" s="60"/>
      <c r="AD22" s="82"/>
      <c r="AE22" s="60" t="s">
        <v>1119</v>
      </c>
      <c r="AF22" s="82">
        <v>1</v>
      </c>
      <c r="AG22" s="60"/>
      <c r="AH22" s="82"/>
      <c r="AI22" s="60"/>
      <c r="AJ22" s="82"/>
      <c r="AK22" s="60" t="s">
        <v>742</v>
      </c>
      <c r="AL22" s="82">
        <v>1</v>
      </c>
      <c r="AM22" s="60"/>
      <c r="AN22" s="82"/>
    </row>
    <row r="23" spans="1:47" ht="30" x14ac:dyDescent="0.25">
      <c r="B23" s="82"/>
      <c r="D23" s="82"/>
      <c r="F23" s="82"/>
      <c r="H23" s="82"/>
      <c r="J23" s="82"/>
      <c r="L23" s="82"/>
      <c r="N23" s="82"/>
      <c r="P23" s="82"/>
      <c r="Q23" s="60"/>
      <c r="R23" s="82"/>
      <c r="S23" s="60"/>
      <c r="T23" s="60"/>
      <c r="U23" s="62"/>
      <c r="V23" s="82"/>
      <c r="W23" s="60" t="s">
        <v>806</v>
      </c>
      <c r="X23" s="82">
        <v>1</v>
      </c>
      <c r="Y23" s="60"/>
      <c r="Z23" s="82"/>
      <c r="AA23" s="60"/>
      <c r="AB23" s="82"/>
      <c r="AC23" s="60"/>
      <c r="AD23" s="82"/>
      <c r="AE23" s="60"/>
      <c r="AF23" s="82"/>
      <c r="AG23" s="60"/>
      <c r="AH23" s="82"/>
      <c r="AI23" s="60"/>
      <c r="AJ23" s="82"/>
      <c r="AK23" s="60" t="s">
        <v>767</v>
      </c>
      <c r="AL23" s="82">
        <v>1</v>
      </c>
      <c r="AM23" s="60"/>
      <c r="AN23" s="82"/>
    </row>
    <row r="24" spans="1:47" ht="60" x14ac:dyDescent="0.25">
      <c r="B24" s="82"/>
      <c r="D24" s="82"/>
      <c r="F24" s="82"/>
      <c r="H24" s="82"/>
      <c r="J24" s="82"/>
      <c r="L24" s="82"/>
      <c r="N24" s="82"/>
      <c r="P24" s="82"/>
      <c r="Q24" s="60"/>
      <c r="R24" s="82"/>
      <c r="S24" s="60"/>
      <c r="T24" s="60"/>
      <c r="U24" s="62"/>
      <c r="V24" s="82"/>
      <c r="W24" s="60" t="s">
        <v>855</v>
      </c>
      <c r="X24" s="82">
        <v>1</v>
      </c>
      <c r="Y24" s="60"/>
      <c r="Z24" s="82"/>
      <c r="AA24" s="60"/>
      <c r="AB24" s="82"/>
      <c r="AC24" s="60"/>
      <c r="AD24" s="82"/>
      <c r="AE24" s="60"/>
      <c r="AF24" s="82"/>
      <c r="AG24" s="60"/>
      <c r="AH24" s="82"/>
      <c r="AI24" s="60"/>
      <c r="AJ24" s="82"/>
      <c r="AK24" s="60" t="s">
        <v>1114</v>
      </c>
      <c r="AL24" s="82">
        <v>1</v>
      </c>
      <c r="AM24" s="60"/>
      <c r="AN24" s="82"/>
    </row>
    <row r="25" spans="1:47" ht="60" x14ac:dyDescent="0.25">
      <c r="B25" s="82"/>
      <c r="D25" s="82"/>
      <c r="F25" s="82"/>
      <c r="H25" s="82"/>
      <c r="J25" s="82"/>
      <c r="L25" s="82"/>
      <c r="N25" s="82"/>
      <c r="P25" s="82"/>
      <c r="Q25" s="60"/>
      <c r="R25" s="82"/>
      <c r="S25" s="60"/>
      <c r="T25" s="60"/>
      <c r="U25" s="62"/>
      <c r="V25" s="82"/>
      <c r="W25" s="60"/>
      <c r="X25" s="82"/>
      <c r="Y25" s="60"/>
      <c r="Z25" s="82"/>
      <c r="AA25" s="60"/>
      <c r="AB25" s="82"/>
      <c r="AC25" s="60"/>
      <c r="AD25" s="82"/>
      <c r="AE25" s="60"/>
      <c r="AF25" s="82"/>
      <c r="AG25" s="60"/>
      <c r="AH25" s="82"/>
      <c r="AI25" s="60"/>
      <c r="AJ25" s="82"/>
      <c r="AK25" s="60" t="s">
        <v>1120</v>
      </c>
      <c r="AL25" s="82">
        <v>1</v>
      </c>
      <c r="AM25" s="60"/>
      <c r="AN25" s="82"/>
    </row>
    <row r="26" spans="1:47" ht="45" x14ac:dyDescent="0.25">
      <c r="B26" s="82"/>
      <c r="D26" s="82"/>
      <c r="F26" s="82"/>
      <c r="H26" s="82"/>
      <c r="J26" s="82"/>
      <c r="L26" s="82"/>
      <c r="N26" s="82"/>
      <c r="P26" s="82"/>
      <c r="Q26" s="60"/>
      <c r="R26" s="82"/>
      <c r="S26" s="60"/>
      <c r="T26" s="60"/>
      <c r="U26" s="62"/>
      <c r="V26" s="82"/>
      <c r="W26" s="60"/>
      <c r="X26" s="82"/>
      <c r="Y26" s="60"/>
      <c r="Z26" s="82"/>
      <c r="AA26" s="60"/>
      <c r="AB26" s="82"/>
      <c r="AC26" s="60"/>
      <c r="AD26" s="82"/>
      <c r="AE26" s="60"/>
      <c r="AF26" s="82"/>
      <c r="AG26" s="60"/>
      <c r="AH26" s="82"/>
      <c r="AI26" s="60"/>
      <c r="AJ26" s="82"/>
      <c r="AK26" s="60" t="s">
        <v>812</v>
      </c>
      <c r="AL26" s="82">
        <v>1</v>
      </c>
      <c r="AM26" s="60"/>
      <c r="AN26" s="82"/>
    </row>
    <row r="27" spans="1:47" x14ac:dyDescent="0.25">
      <c r="B27" s="82"/>
      <c r="D27" s="82"/>
      <c r="F27" s="82"/>
      <c r="H27" s="82"/>
      <c r="J27" s="82"/>
      <c r="L27" s="82"/>
      <c r="N27" s="82"/>
      <c r="P27" s="82"/>
      <c r="Q27" s="60"/>
      <c r="R27" s="82"/>
      <c r="S27" s="60"/>
      <c r="T27" s="60"/>
      <c r="U27" s="62"/>
      <c r="V27" s="82"/>
      <c r="W27" s="60"/>
      <c r="X27" s="82"/>
      <c r="Y27" s="60"/>
      <c r="Z27" s="82"/>
      <c r="AA27" s="60"/>
      <c r="AB27" s="82"/>
      <c r="AC27" s="60"/>
      <c r="AD27" s="82"/>
      <c r="AE27" s="60"/>
      <c r="AF27" s="82"/>
      <c r="AG27" s="60"/>
      <c r="AH27" s="82"/>
      <c r="AI27" s="60"/>
      <c r="AJ27" s="82"/>
      <c r="AK27" s="60"/>
      <c r="AL27" s="82"/>
      <c r="AM27" s="60"/>
      <c r="AN27" s="82"/>
    </row>
    <row r="28" spans="1:47" x14ac:dyDescent="0.25">
      <c r="A28" s="63"/>
      <c r="B28" s="83"/>
      <c r="C28" s="63"/>
      <c r="D28" s="83"/>
      <c r="E28" s="63"/>
      <c r="F28" s="83"/>
      <c r="G28" s="63"/>
      <c r="H28" s="83"/>
      <c r="I28" s="63"/>
      <c r="J28" s="83"/>
      <c r="K28" s="63"/>
      <c r="L28" s="83"/>
      <c r="M28" s="63"/>
      <c r="N28" s="83"/>
      <c r="O28" s="63"/>
      <c r="P28" s="83"/>
      <c r="Q28" s="63"/>
      <c r="R28" s="83"/>
      <c r="S28" s="63"/>
      <c r="T28" s="63"/>
      <c r="U28" s="84"/>
      <c r="V28" s="83"/>
      <c r="W28" s="63"/>
      <c r="X28" s="83"/>
      <c r="Y28" s="63"/>
      <c r="Z28" s="83"/>
      <c r="AA28" s="63"/>
      <c r="AB28" s="83"/>
      <c r="AC28" s="63"/>
      <c r="AD28" s="83"/>
      <c r="AE28" s="63"/>
      <c r="AF28" s="83"/>
      <c r="AG28" s="63"/>
      <c r="AH28" s="83"/>
      <c r="AI28" s="63"/>
      <c r="AJ28" s="83"/>
      <c r="AK28" s="63"/>
      <c r="AL28" s="83"/>
      <c r="AM28" s="63"/>
      <c r="AN28" s="83"/>
    </row>
    <row r="30" spans="1:47" x14ac:dyDescent="0.25">
      <c r="AO30" s="60"/>
      <c r="AP30" s="60"/>
      <c r="AQ30" s="60"/>
      <c r="AR30" s="60"/>
      <c r="AS30" s="60"/>
      <c r="AT30" s="60"/>
      <c r="AU30" s="60"/>
    </row>
    <row r="31" spans="1:47" x14ac:dyDescent="0.25">
      <c r="A31" s="135">
        <v>21</v>
      </c>
      <c r="B31" s="135"/>
      <c r="C31" s="135">
        <f>A31+1</f>
        <v>22</v>
      </c>
      <c r="D31" s="135"/>
      <c r="E31" s="135">
        <f t="shared" ref="E31" si="18">C31+1</f>
        <v>23</v>
      </c>
      <c r="F31" s="135"/>
      <c r="G31" s="135">
        <f t="shared" ref="G31" si="19">E31+1</f>
        <v>24</v>
      </c>
      <c r="H31" s="135"/>
      <c r="I31" s="135">
        <f t="shared" ref="I31" si="20">G31+1</f>
        <v>25</v>
      </c>
      <c r="J31" s="135"/>
      <c r="K31" s="135">
        <f t="shared" ref="K31" si="21">I31+1</f>
        <v>26</v>
      </c>
      <c r="L31" s="135"/>
      <c r="M31" s="135">
        <f t="shared" ref="M31" si="22">K31+1</f>
        <v>27</v>
      </c>
      <c r="N31" s="135"/>
      <c r="O31" s="135">
        <f t="shared" ref="O31" si="23">M31+1</f>
        <v>28</v>
      </c>
      <c r="P31" s="135"/>
      <c r="Q31" s="135">
        <f t="shared" ref="Q31" si="24">O31+1</f>
        <v>29</v>
      </c>
      <c r="R31" s="135"/>
      <c r="S31" s="135">
        <f t="shared" ref="S31" si="25">Q31+1</f>
        <v>30</v>
      </c>
      <c r="T31" s="135"/>
      <c r="U31" s="135">
        <f t="shared" ref="U31" si="26">S31+1</f>
        <v>31</v>
      </c>
      <c r="V31" s="135"/>
      <c r="W31" s="135">
        <f t="shared" ref="W31" si="27">U31+1</f>
        <v>32</v>
      </c>
      <c r="X31" s="135"/>
      <c r="Y31" s="135">
        <f t="shared" ref="Y31" si="28">W31+1</f>
        <v>33</v>
      </c>
      <c r="Z31" s="135"/>
      <c r="AA31" s="135">
        <f t="shared" ref="AA31" si="29">Y31+1</f>
        <v>34</v>
      </c>
      <c r="AB31" s="135"/>
      <c r="AC31" s="135">
        <f t="shared" ref="AC31" si="30">AA31+1</f>
        <v>35</v>
      </c>
      <c r="AD31" s="135"/>
      <c r="AE31" s="135">
        <f t="shared" ref="AE31" si="31">AC31+1</f>
        <v>36</v>
      </c>
      <c r="AF31" s="135"/>
      <c r="AG31" s="135">
        <f t="shared" ref="AG31" si="32">AE31+1</f>
        <v>37</v>
      </c>
      <c r="AH31" s="135"/>
      <c r="AI31" s="135">
        <f t="shared" ref="AI31" si="33">AG31+1</f>
        <v>38</v>
      </c>
      <c r="AJ31" s="135"/>
      <c r="AK31" s="135">
        <f t="shared" ref="AK31" si="34">AI31+1</f>
        <v>39</v>
      </c>
      <c r="AL31" s="135"/>
      <c r="AM31" s="135">
        <f t="shared" ref="AM31" si="35">AK31+1</f>
        <v>40</v>
      </c>
      <c r="AN31" s="135"/>
      <c r="AO31" s="60"/>
      <c r="AP31" s="60"/>
      <c r="AQ31" s="60"/>
      <c r="AR31" s="60"/>
      <c r="AS31" s="60"/>
      <c r="AT31" s="60"/>
      <c r="AU31" s="60"/>
    </row>
    <row r="32" spans="1:47" ht="90" x14ac:dyDescent="0.25">
      <c r="A32" s="60" t="s">
        <v>54</v>
      </c>
      <c r="B32" s="82">
        <v>1</v>
      </c>
      <c r="C32" s="60" t="s">
        <v>54</v>
      </c>
      <c r="D32" s="82">
        <v>1</v>
      </c>
      <c r="E32" s="60" t="s">
        <v>452</v>
      </c>
      <c r="F32" s="82">
        <v>1</v>
      </c>
      <c r="G32" s="60" t="s">
        <v>452</v>
      </c>
      <c r="H32" s="82">
        <v>1</v>
      </c>
      <c r="I32" s="60" t="s">
        <v>452</v>
      </c>
      <c r="J32" s="82">
        <v>1</v>
      </c>
      <c r="K32" s="60" t="s">
        <v>452</v>
      </c>
      <c r="L32" s="82">
        <v>1</v>
      </c>
      <c r="M32" s="60" t="s">
        <v>452</v>
      </c>
      <c r="N32" s="82">
        <v>1</v>
      </c>
      <c r="O32" s="60" t="s">
        <v>452</v>
      </c>
      <c r="P32" s="82">
        <v>1</v>
      </c>
      <c r="Q32" s="60" t="s">
        <v>452</v>
      </c>
      <c r="R32" s="82">
        <v>1</v>
      </c>
      <c r="S32" s="60" t="s">
        <v>455</v>
      </c>
      <c r="T32" s="82">
        <v>1</v>
      </c>
      <c r="U32" s="60" t="s">
        <v>455</v>
      </c>
      <c r="V32" s="82">
        <v>1</v>
      </c>
      <c r="W32" s="60" t="s">
        <v>455</v>
      </c>
      <c r="X32" s="82">
        <v>1</v>
      </c>
      <c r="Y32" s="60" t="s">
        <v>460</v>
      </c>
      <c r="Z32" s="82">
        <v>1</v>
      </c>
      <c r="AA32" s="60" t="s">
        <v>103</v>
      </c>
      <c r="AB32" s="82">
        <v>1</v>
      </c>
      <c r="AC32" s="60" t="s">
        <v>460</v>
      </c>
      <c r="AD32" s="82">
        <v>1</v>
      </c>
      <c r="AE32" s="60" t="s">
        <v>460</v>
      </c>
      <c r="AF32" s="82">
        <v>1</v>
      </c>
      <c r="AG32" s="60" t="s">
        <v>67</v>
      </c>
      <c r="AH32" s="82">
        <v>1</v>
      </c>
      <c r="AI32" s="60" t="s">
        <v>492</v>
      </c>
      <c r="AJ32" s="82">
        <v>1</v>
      </c>
      <c r="AK32" s="60" t="s">
        <v>199</v>
      </c>
      <c r="AL32" s="82">
        <v>1</v>
      </c>
      <c r="AM32" s="60" t="s">
        <v>31</v>
      </c>
      <c r="AN32" s="82">
        <v>3</v>
      </c>
      <c r="AO32" s="60"/>
      <c r="AP32" s="60"/>
      <c r="AQ32" s="60"/>
      <c r="AR32" s="60"/>
      <c r="AS32" s="60"/>
      <c r="AT32" s="60"/>
      <c r="AU32" s="60"/>
    </row>
    <row r="33" spans="1:47" ht="120" x14ac:dyDescent="0.25">
      <c r="A33" s="60" t="s">
        <v>99</v>
      </c>
      <c r="B33" s="82">
        <v>1</v>
      </c>
      <c r="C33" s="60" t="s">
        <v>64</v>
      </c>
      <c r="D33" s="82">
        <v>1</v>
      </c>
      <c r="E33" s="60" t="s">
        <v>194</v>
      </c>
      <c r="F33" s="82">
        <v>1</v>
      </c>
      <c r="G33" s="60" t="s">
        <v>1074</v>
      </c>
      <c r="H33" s="82">
        <v>1</v>
      </c>
      <c r="I33" s="60" t="s">
        <v>453</v>
      </c>
      <c r="J33" s="82">
        <v>1</v>
      </c>
      <c r="K33" s="60" t="s">
        <v>136</v>
      </c>
      <c r="L33" s="82">
        <v>1</v>
      </c>
      <c r="M33" s="60" t="s">
        <v>454</v>
      </c>
      <c r="N33" s="82">
        <v>1</v>
      </c>
      <c r="O33" s="60" t="s">
        <v>455</v>
      </c>
      <c r="P33" s="82">
        <v>1</v>
      </c>
      <c r="Q33" s="60" t="s">
        <v>455</v>
      </c>
      <c r="R33" s="82">
        <v>1</v>
      </c>
      <c r="S33" s="60" t="s">
        <v>457</v>
      </c>
      <c r="T33" s="82">
        <v>1</v>
      </c>
      <c r="U33" s="60" t="s">
        <v>458</v>
      </c>
      <c r="V33" s="82">
        <v>1</v>
      </c>
      <c r="W33" s="60" t="s">
        <v>458</v>
      </c>
      <c r="X33" s="82">
        <v>1</v>
      </c>
      <c r="Y33" s="60" t="s">
        <v>492</v>
      </c>
      <c r="Z33" s="82">
        <v>1</v>
      </c>
      <c r="AA33" s="60" t="s">
        <v>122</v>
      </c>
      <c r="AB33" s="82">
        <v>1</v>
      </c>
      <c r="AC33" s="60" t="s">
        <v>462</v>
      </c>
      <c r="AD33" s="82">
        <v>1</v>
      </c>
      <c r="AE33" s="60" t="s">
        <v>462</v>
      </c>
      <c r="AF33" s="82">
        <v>1</v>
      </c>
      <c r="AG33" s="60" t="s">
        <v>125</v>
      </c>
      <c r="AH33" s="82">
        <v>1</v>
      </c>
      <c r="AI33" s="60" t="s">
        <v>566</v>
      </c>
      <c r="AJ33" s="82">
        <v>1</v>
      </c>
      <c r="AK33" s="60" t="s">
        <v>297</v>
      </c>
      <c r="AL33" s="82">
        <v>1</v>
      </c>
      <c r="AM33" s="60" t="s">
        <v>68</v>
      </c>
      <c r="AN33" s="82">
        <v>1</v>
      </c>
      <c r="AO33" s="60"/>
      <c r="AP33" s="60"/>
      <c r="AQ33" s="60"/>
      <c r="AR33" s="60"/>
      <c r="AS33" s="60"/>
      <c r="AT33" s="60"/>
      <c r="AU33" s="60"/>
    </row>
    <row r="34" spans="1:47" ht="90" x14ac:dyDescent="0.25">
      <c r="A34" s="60" t="s">
        <v>450</v>
      </c>
      <c r="B34" s="82">
        <v>1</v>
      </c>
      <c r="C34" s="60" t="s">
        <v>450</v>
      </c>
      <c r="D34" s="82">
        <v>1</v>
      </c>
      <c r="E34" s="60" t="s">
        <v>225</v>
      </c>
      <c r="F34" s="82">
        <v>1</v>
      </c>
      <c r="G34" s="60" t="s">
        <v>120</v>
      </c>
      <c r="H34" s="82">
        <v>1</v>
      </c>
      <c r="I34" s="60" t="s">
        <v>55</v>
      </c>
      <c r="J34" s="82">
        <v>1</v>
      </c>
      <c r="K34" s="60" t="s">
        <v>162</v>
      </c>
      <c r="L34" s="82">
        <v>1</v>
      </c>
      <c r="M34" s="60" t="s">
        <v>56</v>
      </c>
      <c r="N34" s="82">
        <v>1</v>
      </c>
      <c r="O34" s="60" t="s">
        <v>137</v>
      </c>
      <c r="P34" s="82">
        <v>1</v>
      </c>
      <c r="Q34" s="60" t="s">
        <v>228</v>
      </c>
      <c r="R34" s="82">
        <v>1</v>
      </c>
      <c r="S34" s="60" t="s">
        <v>228</v>
      </c>
      <c r="T34" s="82">
        <v>1</v>
      </c>
      <c r="U34" s="60" t="s">
        <v>228</v>
      </c>
      <c r="V34" s="82">
        <v>1</v>
      </c>
      <c r="W34" s="60" t="s">
        <v>228</v>
      </c>
      <c r="X34" s="82">
        <v>1</v>
      </c>
      <c r="Y34" s="60" t="s">
        <v>822</v>
      </c>
      <c r="Z34" s="82">
        <v>1</v>
      </c>
      <c r="AA34" s="60" t="s">
        <v>140</v>
      </c>
      <c r="AB34" s="82">
        <v>1</v>
      </c>
      <c r="AC34" s="60" t="s">
        <v>66</v>
      </c>
      <c r="AD34" s="82">
        <v>1</v>
      </c>
      <c r="AE34" s="60" t="s">
        <v>124</v>
      </c>
      <c r="AF34" s="82">
        <v>1</v>
      </c>
      <c r="AG34" s="60" t="s">
        <v>198</v>
      </c>
      <c r="AH34" s="82">
        <v>1</v>
      </c>
      <c r="AI34" s="60" t="s">
        <v>613</v>
      </c>
      <c r="AJ34" s="82">
        <v>1</v>
      </c>
      <c r="AK34" s="60" t="s">
        <v>492</v>
      </c>
      <c r="AL34" s="82">
        <v>1</v>
      </c>
      <c r="AM34" s="60" t="s">
        <v>89</v>
      </c>
      <c r="AN34" s="82">
        <v>1</v>
      </c>
      <c r="AO34" s="60"/>
      <c r="AP34" s="60"/>
      <c r="AQ34" s="60"/>
      <c r="AR34" s="60"/>
      <c r="AS34" s="60"/>
      <c r="AT34" s="60"/>
      <c r="AU34" s="60"/>
    </row>
    <row r="35" spans="1:47" ht="120" x14ac:dyDescent="0.25">
      <c r="A35" s="60" t="s">
        <v>476</v>
      </c>
      <c r="B35" s="82">
        <v>1</v>
      </c>
      <c r="C35" s="60" t="s">
        <v>1072</v>
      </c>
      <c r="D35" s="82">
        <v>1</v>
      </c>
      <c r="E35" s="60" t="s">
        <v>887</v>
      </c>
      <c r="F35" s="82">
        <v>1</v>
      </c>
      <c r="G35" s="60" t="s">
        <v>1073</v>
      </c>
      <c r="H35" s="82">
        <v>1</v>
      </c>
      <c r="I35" s="60" t="s">
        <v>470</v>
      </c>
      <c r="J35" s="82">
        <v>1</v>
      </c>
      <c r="K35" s="60" t="s">
        <v>471</v>
      </c>
      <c r="L35" s="82">
        <v>1</v>
      </c>
      <c r="M35" s="60" t="s">
        <v>227</v>
      </c>
      <c r="N35" s="82">
        <v>2</v>
      </c>
      <c r="O35" s="60" t="s">
        <v>163</v>
      </c>
      <c r="P35" s="82">
        <v>1</v>
      </c>
      <c r="Q35" s="60" t="s">
        <v>1075</v>
      </c>
      <c r="R35" s="82">
        <v>1</v>
      </c>
      <c r="S35" s="60" t="s">
        <v>1076</v>
      </c>
      <c r="T35" s="82">
        <v>1</v>
      </c>
      <c r="U35" s="60" t="s">
        <v>472</v>
      </c>
      <c r="V35" s="82">
        <v>1</v>
      </c>
      <c r="W35" s="60" t="s">
        <v>473</v>
      </c>
      <c r="X35" s="82">
        <v>1</v>
      </c>
      <c r="Y35" s="60"/>
      <c r="Z35" s="82"/>
      <c r="AA35" s="60" t="s">
        <v>495</v>
      </c>
      <c r="AB35" s="82">
        <v>1</v>
      </c>
      <c r="AC35" s="60" t="s">
        <v>123</v>
      </c>
      <c r="AD35" s="82">
        <v>1</v>
      </c>
      <c r="AE35" s="60" t="s">
        <v>122</v>
      </c>
      <c r="AF35" s="82">
        <v>1</v>
      </c>
      <c r="AG35" s="60" t="s">
        <v>469</v>
      </c>
      <c r="AH35" s="82">
        <v>1</v>
      </c>
      <c r="AI35" s="60" t="s">
        <v>827</v>
      </c>
      <c r="AJ35" s="82">
        <v>1</v>
      </c>
      <c r="AK35" s="60" t="s">
        <v>749</v>
      </c>
      <c r="AL35" s="82"/>
      <c r="AM35" s="60" t="s">
        <v>1083</v>
      </c>
      <c r="AN35" s="82">
        <v>1</v>
      </c>
      <c r="AO35" s="60"/>
      <c r="AP35" s="60"/>
      <c r="AQ35" s="60"/>
      <c r="AR35" s="60"/>
      <c r="AS35" s="60"/>
      <c r="AT35" s="60"/>
      <c r="AU35" s="60"/>
    </row>
    <row r="36" spans="1:47" ht="120" x14ac:dyDescent="0.25">
      <c r="A36" s="61" t="s">
        <v>287</v>
      </c>
      <c r="B36" s="82">
        <v>1</v>
      </c>
      <c r="C36" s="61" t="s">
        <v>287</v>
      </c>
      <c r="D36" s="82">
        <v>1</v>
      </c>
      <c r="E36" s="60" t="s">
        <v>888</v>
      </c>
      <c r="F36" s="82">
        <v>1</v>
      </c>
      <c r="G36" s="60" t="s">
        <v>225</v>
      </c>
      <c r="H36" s="82">
        <v>1</v>
      </c>
      <c r="I36" s="60" t="s">
        <v>194</v>
      </c>
      <c r="J36" s="82">
        <v>1</v>
      </c>
      <c r="K36" s="60" t="s">
        <v>455</v>
      </c>
      <c r="L36" s="82">
        <v>1</v>
      </c>
      <c r="M36" s="60" t="s">
        <v>162</v>
      </c>
      <c r="N36" s="82">
        <v>1</v>
      </c>
      <c r="O36" s="60" t="s">
        <v>228</v>
      </c>
      <c r="P36" s="82">
        <v>1</v>
      </c>
      <c r="Q36" s="60" t="s">
        <v>164</v>
      </c>
      <c r="R36" s="82">
        <v>1</v>
      </c>
      <c r="S36" s="60" t="s">
        <v>164</v>
      </c>
      <c r="T36" s="82">
        <v>1</v>
      </c>
      <c r="U36" s="60" t="s">
        <v>459</v>
      </c>
      <c r="V36" s="82">
        <v>1</v>
      </c>
      <c r="W36" s="60" t="s">
        <v>459</v>
      </c>
      <c r="X36" s="82">
        <v>1</v>
      </c>
      <c r="Y36" s="60"/>
      <c r="Z36" s="82"/>
      <c r="AA36" s="60" t="s">
        <v>196</v>
      </c>
      <c r="AB36" s="82">
        <v>1</v>
      </c>
      <c r="AC36" s="60" t="s">
        <v>167</v>
      </c>
      <c r="AD36" s="82">
        <v>1</v>
      </c>
      <c r="AE36" s="60" t="s">
        <v>197</v>
      </c>
      <c r="AF36" s="82">
        <v>1</v>
      </c>
      <c r="AG36" s="60" t="s">
        <v>319</v>
      </c>
      <c r="AH36" s="82">
        <v>1</v>
      </c>
      <c r="AI36" s="60" t="s">
        <v>861</v>
      </c>
      <c r="AJ36" s="82">
        <v>1</v>
      </c>
      <c r="AK36" s="60" t="s">
        <v>828</v>
      </c>
      <c r="AL36" s="82">
        <v>1</v>
      </c>
      <c r="AM36" s="60" t="s">
        <v>1084</v>
      </c>
      <c r="AN36" s="82">
        <v>1</v>
      </c>
      <c r="AO36" s="60"/>
      <c r="AP36" s="60"/>
      <c r="AQ36" s="60"/>
      <c r="AR36" s="60"/>
      <c r="AS36" s="60"/>
      <c r="AT36" s="60"/>
      <c r="AU36" s="60"/>
    </row>
    <row r="37" spans="1:47" ht="90" x14ac:dyDescent="0.25">
      <c r="A37" s="60" t="s">
        <v>315</v>
      </c>
      <c r="B37" s="82">
        <v>1</v>
      </c>
      <c r="C37" s="60" t="s">
        <v>225</v>
      </c>
      <c r="D37" s="82">
        <v>1</v>
      </c>
      <c r="E37" s="60" t="s">
        <v>889</v>
      </c>
      <c r="F37" s="82">
        <v>1</v>
      </c>
      <c r="G37" s="60" t="s">
        <v>604</v>
      </c>
      <c r="H37" s="82">
        <v>1</v>
      </c>
      <c r="I37" s="60" t="s">
        <v>289</v>
      </c>
      <c r="J37" s="82">
        <v>1</v>
      </c>
      <c r="K37" s="60" t="s">
        <v>225</v>
      </c>
      <c r="L37" s="82">
        <v>1</v>
      </c>
      <c r="M37" s="60" t="s">
        <v>290</v>
      </c>
      <c r="N37" s="82">
        <v>1</v>
      </c>
      <c r="O37" s="60" t="s">
        <v>890</v>
      </c>
      <c r="P37" s="82">
        <v>1</v>
      </c>
      <c r="Q37" s="60" t="s">
        <v>195</v>
      </c>
      <c r="R37" s="82">
        <v>1</v>
      </c>
      <c r="S37" s="60" t="s">
        <v>459</v>
      </c>
      <c r="T37" s="82">
        <v>1</v>
      </c>
      <c r="U37" s="60" t="s">
        <v>87</v>
      </c>
      <c r="V37" s="82">
        <v>1</v>
      </c>
      <c r="W37" s="60" t="s">
        <v>88</v>
      </c>
      <c r="X37" s="82">
        <v>1</v>
      </c>
      <c r="Y37" s="60"/>
      <c r="Z37" s="82"/>
      <c r="AA37" s="60" t="s">
        <v>460</v>
      </c>
      <c r="AB37" s="82">
        <v>1</v>
      </c>
      <c r="AC37" s="60" t="s">
        <v>291</v>
      </c>
      <c r="AD37" s="82">
        <v>2</v>
      </c>
      <c r="AE37" s="60" t="s">
        <v>233</v>
      </c>
      <c r="AF37" s="82">
        <v>1</v>
      </c>
      <c r="AG37" s="60" t="s">
        <v>492</v>
      </c>
      <c r="AH37" s="82">
        <v>1</v>
      </c>
      <c r="AI37" s="60"/>
      <c r="AJ37" s="82"/>
      <c r="AK37" s="60"/>
      <c r="AL37" s="82"/>
      <c r="AM37" s="60" t="s">
        <v>320</v>
      </c>
      <c r="AN37" s="82">
        <v>1</v>
      </c>
      <c r="AO37" s="60"/>
      <c r="AP37" s="60"/>
      <c r="AQ37" s="60"/>
      <c r="AR37" s="60"/>
      <c r="AS37" s="60"/>
      <c r="AT37" s="60"/>
      <c r="AU37" s="60"/>
    </row>
    <row r="38" spans="1:47" ht="90" x14ac:dyDescent="0.25">
      <c r="A38" s="60" t="s">
        <v>225</v>
      </c>
      <c r="B38" s="82">
        <v>1</v>
      </c>
      <c r="C38" s="60" t="s">
        <v>887</v>
      </c>
      <c r="D38" s="82">
        <v>1</v>
      </c>
      <c r="E38" s="60" t="s">
        <v>1061</v>
      </c>
      <c r="F38" s="82">
        <v>1</v>
      </c>
      <c r="G38" s="60" t="s">
        <v>744</v>
      </c>
      <c r="H38" s="82">
        <v>1</v>
      </c>
      <c r="I38" s="60" t="s">
        <v>316</v>
      </c>
      <c r="J38" s="82">
        <v>1</v>
      </c>
      <c r="K38" s="60" t="s">
        <v>566</v>
      </c>
      <c r="L38" s="82">
        <v>1</v>
      </c>
      <c r="M38" s="60" t="s">
        <v>455</v>
      </c>
      <c r="N38" s="82">
        <v>1</v>
      </c>
      <c r="O38" s="60" t="s">
        <v>891</v>
      </c>
      <c r="P38" s="82">
        <v>1</v>
      </c>
      <c r="Q38" s="60" t="s">
        <v>566</v>
      </c>
      <c r="R38" s="82">
        <v>1</v>
      </c>
      <c r="S38" s="60" t="s">
        <v>195</v>
      </c>
      <c r="T38" s="82">
        <v>1</v>
      </c>
      <c r="U38" s="60" t="s">
        <v>102</v>
      </c>
      <c r="V38" s="82">
        <v>1</v>
      </c>
      <c r="W38" s="60" t="s">
        <v>139</v>
      </c>
      <c r="X38" s="82">
        <v>1</v>
      </c>
      <c r="Y38" s="60"/>
      <c r="Z38" s="82"/>
      <c r="AA38" s="60" t="s">
        <v>461</v>
      </c>
      <c r="AB38" s="82">
        <v>1</v>
      </c>
      <c r="AC38" s="60" t="s">
        <v>233</v>
      </c>
      <c r="AD38" s="82">
        <v>1</v>
      </c>
      <c r="AE38" s="60" t="s">
        <v>492</v>
      </c>
      <c r="AF38" s="82">
        <v>1</v>
      </c>
      <c r="AG38" s="60" t="s">
        <v>892</v>
      </c>
      <c r="AH38" s="82">
        <v>1</v>
      </c>
      <c r="AI38" s="60"/>
      <c r="AJ38" s="82"/>
      <c r="AK38" s="60"/>
      <c r="AL38" s="82"/>
      <c r="AM38" s="60" t="s">
        <v>750</v>
      </c>
      <c r="AN38" s="82">
        <v>1</v>
      </c>
      <c r="AO38" s="60"/>
      <c r="AP38" s="60"/>
      <c r="AQ38" s="60"/>
      <c r="AR38" s="60"/>
      <c r="AS38" s="60"/>
      <c r="AT38" s="60"/>
      <c r="AU38" s="60"/>
    </row>
    <row r="39" spans="1:47" ht="90" x14ac:dyDescent="0.25">
      <c r="A39" s="60" t="s">
        <v>887</v>
      </c>
      <c r="B39" s="82">
        <v>1</v>
      </c>
      <c r="C39" s="60" t="s">
        <v>888</v>
      </c>
      <c r="D39" s="82">
        <v>1</v>
      </c>
      <c r="E39" s="60" t="s">
        <v>1062</v>
      </c>
      <c r="F39" s="82">
        <v>1</v>
      </c>
      <c r="G39" s="60" t="s">
        <v>768</v>
      </c>
      <c r="H39" s="82">
        <v>1</v>
      </c>
      <c r="I39" s="60" t="s">
        <v>468</v>
      </c>
      <c r="J39" s="82">
        <v>1</v>
      </c>
      <c r="K39" s="60" t="s">
        <v>1116</v>
      </c>
      <c r="L39" s="82">
        <v>1</v>
      </c>
      <c r="M39" s="60" t="s">
        <v>456</v>
      </c>
      <c r="N39" s="82">
        <v>1</v>
      </c>
      <c r="O39" s="60" t="s">
        <v>566</v>
      </c>
      <c r="P39" s="82">
        <v>1</v>
      </c>
      <c r="Q39" s="60" t="s">
        <v>1078</v>
      </c>
      <c r="R39" s="82">
        <v>1</v>
      </c>
      <c r="S39" s="60" t="s">
        <v>475</v>
      </c>
      <c r="T39" s="82">
        <v>1</v>
      </c>
      <c r="U39" s="60" t="s">
        <v>165</v>
      </c>
      <c r="V39" s="82">
        <v>1</v>
      </c>
      <c r="W39" s="60" t="s">
        <v>1104</v>
      </c>
      <c r="X39" s="82">
        <v>2</v>
      </c>
      <c r="Y39" s="60"/>
      <c r="Z39" s="82"/>
      <c r="AA39" s="60" t="s">
        <v>492</v>
      </c>
      <c r="AB39" s="82">
        <v>1</v>
      </c>
      <c r="AC39" s="60" t="s">
        <v>492</v>
      </c>
      <c r="AD39" s="82">
        <v>1</v>
      </c>
      <c r="AE39" s="60" t="s">
        <v>892</v>
      </c>
      <c r="AF39" s="82">
        <v>1</v>
      </c>
      <c r="AG39" s="60" t="s">
        <v>893</v>
      </c>
      <c r="AH39" s="82">
        <v>1</v>
      </c>
      <c r="AI39" s="60"/>
      <c r="AJ39" s="82"/>
      <c r="AK39" s="60"/>
      <c r="AL39" s="82"/>
      <c r="AM39" s="60" t="s">
        <v>1085</v>
      </c>
      <c r="AN39" s="82">
        <v>1</v>
      </c>
      <c r="AO39" s="60"/>
      <c r="AP39" s="60"/>
      <c r="AQ39" s="60"/>
      <c r="AR39" s="60"/>
      <c r="AS39" s="60"/>
      <c r="AT39" s="60"/>
      <c r="AU39" s="60"/>
    </row>
    <row r="40" spans="1:47" ht="90" x14ac:dyDescent="0.25">
      <c r="A40" s="60" t="s">
        <v>888</v>
      </c>
      <c r="B40" s="82">
        <v>1</v>
      </c>
      <c r="C40" s="60" t="s">
        <v>603</v>
      </c>
      <c r="D40" s="82">
        <v>1</v>
      </c>
      <c r="E40" s="60" t="s">
        <v>768</v>
      </c>
      <c r="F40" s="82">
        <v>1</v>
      </c>
      <c r="G40" s="60" t="s">
        <v>817</v>
      </c>
      <c r="H40" s="82">
        <v>1</v>
      </c>
      <c r="I40" s="60" t="s">
        <v>534</v>
      </c>
      <c r="J40" s="82">
        <v>1</v>
      </c>
      <c r="K40" s="60" t="s">
        <v>1117</v>
      </c>
      <c r="L40" s="82">
        <v>1</v>
      </c>
      <c r="M40" s="60" t="s">
        <v>557</v>
      </c>
      <c r="N40" s="82">
        <v>1</v>
      </c>
      <c r="O40" s="60" t="s">
        <v>581</v>
      </c>
      <c r="P40" s="82">
        <v>1</v>
      </c>
      <c r="Q40" s="60" t="s">
        <v>819</v>
      </c>
      <c r="R40" s="82">
        <v>1</v>
      </c>
      <c r="S40" s="60" t="s">
        <v>317</v>
      </c>
      <c r="T40" s="82">
        <v>1</v>
      </c>
      <c r="U40" s="60" t="s">
        <v>1079</v>
      </c>
      <c r="V40" s="82">
        <v>1</v>
      </c>
      <c r="W40" s="60" t="s">
        <v>195</v>
      </c>
      <c r="X40" s="82">
        <v>1</v>
      </c>
      <c r="Y40" s="60"/>
      <c r="Z40" s="82"/>
      <c r="AA40" s="60" t="s">
        <v>538</v>
      </c>
      <c r="AB40" s="82">
        <v>1</v>
      </c>
      <c r="AC40" s="60" t="s">
        <v>566</v>
      </c>
      <c r="AD40" s="82">
        <v>1</v>
      </c>
      <c r="AE40" s="60" t="s">
        <v>566</v>
      </c>
      <c r="AF40" s="82">
        <v>1</v>
      </c>
      <c r="AG40" s="60" t="s">
        <v>566</v>
      </c>
      <c r="AH40" s="82">
        <v>1</v>
      </c>
      <c r="AI40" s="60"/>
      <c r="AJ40" s="82"/>
      <c r="AK40" s="60"/>
      <c r="AL40" s="82"/>
      <c r="AM40" s="60" t="s">
        <v>199</v>
      </c>
      <c r="AN40" s="82">
        <v>1</v>
      </c>
      <c r="AO40" s="60"/>
      <c r="AP40" s="60"/>
      <c r="AQ40" s="60"/>
      <c r="AR40" s="60"/>
      <c r="AS40" s="60"/>
      <c r="AT40" s="60"/>
      <c r="AU40" s="60"/>
    </row>
    <row r="41" spans="1:47" ht="90" x14ac:dyDescent="0.25">
      <c r="A41" s="60" t="s">
        <v>602</v>
      </c>
      <c r="B41" s="82">
        <v>2</v>
      </c>
      <c r="C41" s="60" t="s">
        <v>743</v>
      </c>
      <c r="D41" s="82">
        <v>1</v>
      </c>
      <c r="E41" s="60" t="s">
        <v>816</v>
      </c>
      <c r="F41" s="82">
        <v>1</v>
      </c>
      <c r="G41" s="60"/>
      <c r="H41" s="82"/>
      <c r="I41" s="60" t="s">
        <v>566</v>
      </c>
      <c r="J41" s="82">
        <v>1</v>
      </c>
      <c r="K41" s="60" t="s">
        <v>818</v>
      </c>
      <c r="L41" s="82">
        <v>1</v>
      </c>
      <c r="M41" s="60" t="s">
        <v>566</v>
      </c>
      <c r="N41" s="82">
        <v>1</v>
      </c>
      <c r="O41" s="60"/>
      <c r="P41" s="82"/>
      <c r="Q41" s="60"/>
      <c r="R41" s="82"/>
      <c r="S41" s="60" t="s">
        <v>460</v>
      </c>
      <c r="T41" s="82">
        <v>1</v>
      </c>
      <c r="U41" s="60" t="s">
        <v>195</v>
      </c>
      <c r="V41" s="82">
        <v>1</v>
      </c>
      <c r="W41" s="60" t="s">
        <v>318</v>
      </c>
      <c r="X41" s="82">
        <v>1</v>
      </c>
      <c r="Y41" s="60"/>
      <c r="Z41" s="82"/>
      <c r="AA41" s="60" t="s">
        <v>559</v>
      </c>
      <c r="AB41" s="82">
        <v>1</v>
      </c>
      <c r="AC41" s="60" t="s">
        <v>1081</v>
      </c>
      <c r="AD41" s="82">
        <v>1</v>
      </c>
      <c r="AE41" s="60" t="s">
        <v>769</v>
      </c>
      <c r="AF41" s="82">
        <v>1</v>
      </c>
      <c r="AG41" s="60" t="s">
        <v>826</v>
      </c>
      <c r="AH41" s="82">
        <v>1</v>
      </c>
      <c r="AI41" s="60"/>
      <c r="AJ41" s="82"/>
      <c r="AK41" s="60"/>
      <c r="AL41" s="82"/>
      <c r="AM41" s="60" t="s">
        <v>297</v>
      </c>
      <c r="AN41" s="82">
        <v>1</v>
      </c>
      <c r="AO41" s="60"/>
      <c r="AP41" s="60"/>
      <c r="AQ41" s="60"/>
      <c r="AR41" s="60"/>
      <c r="AS41" s="60"/>
      <c r="AT41" s="60"/>
      <c r="AU41" s="60"/>
    </row>
    <row r="42" spans="1:47" ht="75" x14ac:dyDescent="0.25">
      <c r="A42" s="61" t="s">
        <v>814</v>
      </c>
      <c r="B42" s="82">
        <v>1</v>
      </c>
      <c r="C42" s="61" t="s">
        <v>815</v>
      </c>
      <c r="D42" s="82">
        <v>1</v>
      </c>
      <c r="F42" s="82"/>
      <c r="H42" s="82"/>
      <c r="I42" s="61" t="s">
        <v>605</v>
      </c>
      <c r="J42" s="82">
        <v>1</v>
      </c>
      <c r="L42" s="82"/>
      <c r="M42" s="61" t="s">
        <v>606</v>
      </c>
      <c r="N42" s="82">
        <v>1</v>
      </c>
      <c r="P42" s="82"/>
      <c r="R42" s="82"/>
      <c r="S42" s="61" t="s">
        <v>536</v>
      </c>
      <c r="T42" s="82">
        <v>1</v>
      </c>
      <c r="U42" s="61" t="s">
        <v>318</v>
      </c>
      <c r="V42" s="82">
        <v>1</v>
      </c>
      <c r="W42" s="61" t="s">
        <v>460</v>
      </c>
      <c r="X42" s="82">
        <v>1</v>
      </c>
      <c r="Z42" s="82"/>
      <c r="AA42" s="61" t="s">
        <v>582</v>
      </c>
      <c r="AB42" s="82">
        <v>1</v>
      </c>
      <c r="AC42" s="61" t="s">
        <v>1082</v>
      </c>
      <c r="AD42" s="82">
        <v>1</v>
      </c>
      <c r="AE42" s="61" t="s">
        <v>825</v>
      </c>
      <c r="AF42" s="82">
        <v>1</v>
      </c>
      <c r="AH42" s="82"/>
      <c r="AJ42" s="82"/>
      <c r="AL42" s="82"/>
      <c r="AM42" s="61" t="s">
        <v>267</v>
      </c>
      <c r="AN42" s="82">
        <v>1</v>
      </c>
      <c r="AO42" s="60"/>
      <c r="AP42" s="60"/>
      <c r="AQ42" s="60"/>
      <c r="AR42" s="60"/>
      <c r="AS42" s="60"/>
      <c r="AT42" s="60"/>
      <c r="AU42" s="60"/>
    </row>
    <row r="43" spans="1:47" ht="60" x14ac:dyDescent="0.25">
      <c r="A43" s="60"/>
      <c r="B43" s="82"/>
      <c r="C43" s="60" t="s">
        <v>858</v>
      </c>
      <c r="D43" s="82">
        <v>1</v>
      </c>
      <c r="E43" s="60"/>
      <c r="F43" s="82"/>
      <c r="G43" s="60"/>
      <c r="H43" s="82"/>
      <c r="I43" s="60" t="s">
        <v>1103</v>
      </c>
      <c r="J43" s="82">
        <v>1</v>
      </c>
      <c r="K43" s="60"/>
      <c r="L43" s="82"/>
      <c r="M43" s="60" t="s">
        <v>818</v>
      </c>
      <c r="N43" s="82">
        <v>1</v>
      </c>
      <c r="O43" s="60"/>
      <c r="P43" s="82"/>
      <c r="Q43" s="60"/>
      <c r="R43" s="82"/>
      <c r="S43" s="60" t="s">
        <v>566</v>
      </c>
      <c r="T43" s="82">
        <v>1</v>
      </c>
      <c r="U43" s="60" t="s">
        <v>474</v>
      </c>
      <c r="V43" s="82">
        <v>1</v>
      </c>
      <c r="W43" s="60" t="s">
        <v>537</v>
      </c>
      <c r="X43" s="82">
        <v>1</v>
      </c>
      <c r="Y43" s="60"/>
      <c r="Z43" s="82"/>
      <c r="AA43" s="60" t="s">
        <v>611</v>
      </c>
      <c r="AB43" s="82">
        <v>1</v>
      </c>
      <c r="AC43" s="60" t="s">
        <v>824</v>
      </c>
      <c r="AD43" s="82">
        <v>1</v>
      </c>
      <c r="AE43" s="60"/>
      <c r="AF43" s="82"/>
      <c r="AG43" s="60"/>
      <c r="AH43" s="82"/>
      <c r="AI43" s="60"/>
      <c r="AJ43" s="82"/>
      <c r="AK43" s="60"/>
      <c r="AL43" s="82"/>
      <c r="AM43" s="60" t="s">
        <v>168</v>
      </c>
      <c r="AN43" s="82">
        <v>1</v>
      </c>
      <c r="AO43" s="60"/>
      <c r="AP43" s="60"/>
      <c r="AQ43" s="60"/>
      <c r="AR43" s="60"/>
      <c r="AS43" s="60"/>
      <c r="AT43" s="60"/>
      <c r="AU43" s="60"/>
    </row>
    <row r="44" spans="1:47" ht="90" x14ac:dyDescent="0.25">
      <c r="A44" s="60"/>
      <c r="B44" s="82"/>
      <c r="C44" s="60"/>
      <c r="D44" s="82"/>
      <c r="E44" s="60"/>
      <c r="F44" s="82"/>
      <c r="G44" s="60"/>
      <c r="H44" s="82"/>
      <c r="I44" s="60" t="s">
        <v>817</v>
      </c>
      <c r="J44" s="82">
        <v>1</v>
      </c>
      <c r="K44" s="60"/>
      <c r="L44" s="82"/>
      <c r="M44" s="60"/>
      <c r="N44" s="82"/>
      <c r="O44" s="60"/>
      <c r="P44" s="82"/>
      <c r="Q44" s="60"/>
      <c r="R44" s="82"/>
      <c r="S44" s="60" t="s">
        <v>1077</v>
      </c>
      <c r="T44" s="82">
        <v>1</v>
      </c>
      <c r="U44" s="60" t="s">
        <v>460</v>
      </c>
      <c r="V44" s="82">
        <v>1</v>
      </c>
      <c r="W44" s="60" t="s">
        <v>568</v>
      </c>
      <c r="X44" s="82">
        <v>1</v>
      </c>
      <c r="Y44" s="60"/>
      <c r="Z44" s="82"/>
      <c r="AA44" s="60" t="s">
        <v>747</v>
      </c>
      <c r="AB44" s="82">
        <v>1</v>
      </c>
      <c r="AC44" s="60"/>
      <c r="AD44" s="82"/>
      <c r="AE44" s="60"/>
      <c r="AF44" s="82"/>
      <c r="AG44" s="60"/>
      <c r="AH44" s="82"/>
      <c r="AI44" s="60"/>
      <c r="AJ44" s="82"/>
      <c r="AK44" s="60"/>
      <c r="AL44" s="82"/>
      <c r="AM44" s="60" t="s">
        <v>492</v>
      </c>
      <c r="AN44" s="82">
        <v>1</v>
      </c>
      <c r="AO44" s="60"/>
      <c r="AP44" s="60"/>
      <c r="AQ44" s="60"/>
      <c r="AR44" s="60"/>
      <c r="AS44" s="60"/>
      <c r="AT44" s="60"/>
      <c r="AU44" s="60"/>
    </row>
    <row r="45" spans="1:47" ht="105" x14ac:dyDescent="0.25">
      <c r="A45" s="60"/>
      <c r="B45" s="82"/>
      <c r="C45" s="60"/>
      <c r="D45" s="82"/>
      <c r="E45" s="60"/>
      <c r="F45" s="82"/>
      <c r="G45" s="60"/>
      <c r="H45" s="82"/>
      <c r="I45" s="60" t="s">
        <v>1127</v>
      </c>
      <c r="J45" s="82">
        <v>1</v>
      </c>
      <c r="K45" s="60"/>
      <c r="L45" s="82"/>
      <c r="M45" s="60"/>
      <c r="N45" s="82"/>
      <c r="O45" s="60"/>
      <c r="P45" s="82"/>
      <c r="Q45" s="60"/>
      <c r="R45" s="82"/>
      <c r="S45" s="60" t="s">
        <v>798</v>
      </c>
      <c r="T45" s="82">
        <v>1</v>
      </c>
      <c r="U45" s="60" t="s">
        <v>558</v>
      </c>
      <c r="V45" s="82">
        <v>1</v>
      </c>
      <c r="W45" s="60" t="s">
        <v>1080</v>
      </c>
      <c r="X45" s="82">
        <v>1</v>
      </c>
      <c r="Y45" s="60"/>
      <c r="Z45" s="82"/>
      <c r="AA45" s="60" t="s">
        <v>781</v>
      </c>
      <c r="AB45" s="82">
        <v>1</v>
      </c>
      <c r="AC45" s="60"/>
      <c r="AD45" s="82"/>
      <c r="AE45" s="60"/>
      <c r="AF45" s="82"/>
      <c r="AG45" s="60"/>
      <c r="AH45" s="82"/>
      <c r="AI45" s="60"/>
      <c r="AJ45" s="82"/>
      <c r="AK45" s="60"/>
      <c r="AL45" s="82"/>
      <c r="AM45" s="60" t="s">
        <v>569</v>
      </c>
      <c r="AN45" s="82">
        <v>1</v>
      </c>
      <c r="AO45" s="60"/>
      <c r="AP45" s="60"/>
      <c r="AQ45" s="60"/>
      <c r="AR45" s="60"/>
      <c r="AS45" s="60"/>
      <c r="AT45" s="60"/>
      <c r="AU45" s="60"/>
    </row>
    <row r="46" spans="1:47" ht="75" x14ac:dyDescent="0.25">
      <c r="A46" s="60"/>
      <c r="B46" s="82"/>
      <c r="C46" s="60"/>
      <c r="D46" s="82"/>
      <c r="E46" s="60"/>
      <c r="F46" s="82"/>
      <c r="G46" s="60"/>
      <c r="H46" s="82"/>
      <c r="I46" s="60" t="s">
        <v>1128</v>
      </c>
      <c r="J46" s="82">
        <v>1</v>
      </c>
      <c r="K46" s="60"/>
      <c r="L46" s="82"/>
      <c r="M46" s="60"/>
      <c r="N46" s="82"/>
      <c r="O46" s="60"/>
      <c r="P46" s="82"/>
      <c r="Q46" s="60"/>
      <c r="R46" s="82"/>
      <c r="S46" s="60" t="s">
        <v>819</v>
      </c>
      <c r="T46" s="82">
        <v>1</v>
      </c>
      <c r="U46" s="60" t="s">
        <v>609</v>
      </c>
      <c r="V46" s="82">
        <v>1</v>
      </c>
      <c r="W46" s="61" t="s">
        <v>791</v>
      </c>
      <c r="X46" s="82">
        <v>1</v>
      </c>
      <c r="Y46" s="60"/>
      <c r="Z46" s="82"/>
      <c r="AA46" s="60" t="s">
        <v>823</v>
      </c>
      <c r="AB46" s="82">
        <v>1</v>
      </c>
      <c r="AC46" s="60"/>
      <c r="AD46" s="82"/>
      <c r="AE46" s="60"/>
      <c r="AF46" s="82"/>
      <c r="AG46" s="60"/>
      <c r="AH46" s="82"/>
      <c r="AI46" s="60"/>
      <c r="AJ46" s="82"/>
      <c r="AK46" s="60"/>
      <c r="AL46" s="82"/>
      <c r="AM46" s="60" t="s">
        <v>614</v>
      </c>
      <c r="AN46" s="82">
        <v>1</v>
      </c>
      <c r="AO46" s="60"/>
      <c r="AP46" s="60"/>
      <c r="AQ46" s="60"/>
      <c r="AR46" s="60"/>
      <c r="AS46" s="60"/>
      <c r="AT46" s="60"/>
      <c r="AU46" s="60"/>
    </row>
    <row r="47" spans="1:47" ht="75" x14ac:dyDescent="0.25">
      <c r="B47" s="82"/>
      <c r="D47" s="82"/>
      <c r="F47" s="82"/>
      <c r="H47" s="82"/>
      <c r="J47" s="82"/>
      <c r="L47" s="82"/>
      <c r="N47" s="82"/>
      <c r="P47" s="82"/>
      <c r="R47" s="82"/>
      <c r="T47" s="82"/>
      <c r="U47" s="61" t="s">
        <v>525</v>
      </c>
      <c r="V47" s="82">
        <v>1</v>
      </c>
      <c r="W47" s="61" t="s">
        <v>821</v>
      </c>
      <c r="X47" s="82">
        <v>1</v>
      </c>
      <c r="Z47" s="82"/>
      <c r="AB47" s="82"/>
      <c r="AD47" s="82"/>
      <c r="AF47" s="82"/>
      <c r="AH47" s="82"/>
      <c r="AJ47" s="82"/>
      <c r="AL47" s="82"/>
      <c r="AM47" s="61" t="s">
        <v>770</v>
      </c>
      <c r="AN47" s="82">
        <v>1</v>
      </c>
      <c r="AO47" s="60"/>
      <c r="AP47" s="60"/>
      <c r="AQ47" s="60"/>
      <c r="AR47" s="60"/>
      <c r="AS47" s="60"/>
      <c r="AT47" s="60"/>
      <c r="AU47" s="60"/>
    </row>
    <row r="48" spans="1:47" ht="75" x14ac:dyDescent="0.25">
      <c r="B48" s="82"/>
      <c r="D48" s="82"/>
      <c r="F48" s="82"/>
      <c r="H48" s="82"/>
      <c r="J48" s="82"/>
      <c r="L48" s="82"/>
      <c r="N48" s="82"/>
      <c r="P48" s="82"/>
      <c r="R48" s="82"/>
      <c r="T48" s="82"/>
      <c r="U48" s="61" t="s">
        <v>791</v>
      </c>
      <c r="V48" s="82">
        <v>1</v>
      </c>
      <c r="X48" s="82"/>
      <c r="Z48" s="82"/>
      <c r="AB48" s="82"/>
      <c r="AD48" s="82"/>
      <c r="AF48" s="82"/>
      <c r="AH48" s="82"/>
      <c r="AJ48" s="82"/>
      <c r="AL48" s="82"/>
      <c r="AM48" s="61" t="s">
        <v>782</v>
      </c>
      <c r="AN48" s="82">
        <v>2</v>
      </c>
      <c r="AO48" s="60"/>
      <c r="AP48" s="60"/>
      <c r="AQ48" s="60"/>
      <c r="AR48" s="60"/>
      <c r="AS48" s="60"/>
      <c r="AT48" s="60"/>
      <c r="AU48" s="60"/>
    </row>
    <row r="49" spans="1:47" ht="60" x14ac:dyDescent="0.25">
      <c r="B49" s="82"/>
      <c r="D49" s="82"/>
      <c r="F49" s="82"/>
      <c r="H49" s="82"/>
      <c r="J49" s="82"/>
      <c r="L49" s="82"/>
      <c r="N49" s="82"/>
      <c r="P49" s="82"/>
      <c r="R49" s="82"/>
      <c r="T49" s="82"/>
      <c r="U49" s="61" t="s">
        <v>1124</v>
      </c>
      <c r="V49" s="82">
        <v>1</v>
      </c>
      <c r="X49" s="82"/>
      <c r="Z49" s="82"/>
      <c r="AB49" s="82"/>
      <c r="AD49" s="82"/>
      <c r="AF49" s="82"/>
      <c r="AH49" s="82"/>
      <c r="AJ49" s="82"/>
      <c r="AL49" s="82"/>
      <c r="AM49" s="61" t="s">
        <v>526</v>
      </c>
      <c r="AN49" s="82">
        <v>1</v>
      </c>
      <c r="AO49" s="60"/>
      <c r="AP49" s="60"/>
      <c r="AQ49" s="60"/>
      <c r="AR49" s="60"/>
      <c r="AS49" s="60"/>
      <c r="AT49" s="60"/>
      <c r="AU49" s="60"/>
    </row>
    <row r="50" spans="1:47" ht="75" x14ac:dyDescent="0.25">
      <c r="B50" s="82"/>
      <c r="D50" s="82"/>
      <c r="F50" s="82"/>
      <c r="H50" s="82"/>
      <c r="J50" s="82"/>
      <c r="L50" s="82"/>
      <c r="N50" s="82"/>
      <c r="P50" s="82"/>
      <c r="R50" s="82"/>
      <c r="T50" s="82"/>
      <c r="U50" s="61" t="s">
        <v>860</v>
      </c>
      <c r="V50" s="82">
        <v>1</v>
      </c>
      <c r="X50" s="82"/>
      <c r="Z50" s="82"/>
      <c r="AB50" s="82"/>
      <c r="AD50" s="82"/>
      <c r="AF50" s="82"/>
      <c r="AH50" s="82"/>
      <c r="AJ50" s="82"/>
      <c r="AL50" s="82"/>
      <c r="AM50" s="61" t="s">
        <v>1121</v>
      </c>
      <c r="AN50" s="82">
        <v>1</v>
      </c>
      <c r="AO50" s="60"/>
      <c r="AP50" s="60"/>
      <c r="AQ50" s="60"/>
      <c r="AR50" s="60"/>
      <c r="AS50" s="60"/>
      <c r="AT50" s="60"/>
      <c r="AU50" s="60"/>
    </row>
    <row r="51" spans="1:47" ht="30" x14ac:dyDescent="0.25">
      <c r="B51" s="82"/>
      <c r="D51" s="82"/>
      <c r="F51" s="82"/>
      <c r="H51" s="82"/>
      <c r="J51" s="82"/>
      <c r="L51" s="82"/>
      <c r="N51" s="82"/>
      <c r="P51" s="82"/>
      <c r="R51" s="82"/>
      <c r="T51" s="82"/>
      <c r="V51" s="82"/>
      <c r="X51" s="82"/>
      <c r="Z51" s="82"/>
      <c r="AB51" s="82"/>
      <c r="AD51" s="82"/>
      <c r="AF51" s="82"/>
      <c r="AH51" s="82"/>
      <c r="AJ51" s="82"/>
      <c r="AL51" s="82"/>
      <c r="AM51" s="61" t="s">
        <v>829</v>
      </c>
      <c r="AN51" s="82">
        <v>1</v>
      </c>
      <c r="AO51" s="60"/>
      <c r="AP51" s="60"/>
      <c r="AQ51" s="60"/>
      <c r="AR51" s="60"/>
      <c r="AS51" s="60"/>
      <c r="AT51" s="60"/>
      <c r="AU51" s="60"/>
    </row>
    <row r="52" spans="1:47" x14ac:dyDescent="0.25">
      <c r="B52" s="82"/>
      <c r="D52" s="82"/>
      <c r="F52" s="82"/>
      <c r="H52" s="82"/>
      <c r="J52" s="82"/>
      <c r="L52" s="82"/>
      <c r="N52" s="82"/>
      <c r="P52" s="82"/>
      <c r="R52" s="82"/>
      <c r="T52" s="82"/>
      <c r="V52" s="82"/>
      <c r="X52" s="82"/>
      <c r="Z52" s="82"/>
      <c r="AB52" s="82"/>
      <c r="AD52" s="82"/>
      <c r="AF52" s="82"/>
      <c r="AH52" s="82"/>
      <c r="AJ52" s="82"/>
      <c r="AL52" s="82"/>
      <c r="AN52" s="82"/>
      <c r="AO52" s="60"/>
      <c r="AP52" s="60"/>
      <c r="AQ52" s="60"/>
      <c r="AR52" s="60"/>
      <c r="AS52" s="60"/>
      <c r="AT52" s="60"/>
      <c r="AU52" s="60"/>
    </row>
    <row r="53" spans="1:47" x14ac:dyDescent="0.25">
      <c r="B53" s="82"/>
      <c r="D53" s="82"/>
      <c r="F53" s="82"/>
      <c r="H53" s="82"/>
      <c r="J53" s="82"/>
      <c r="L53" s="82"/>
      <c r="N53" s="82"/>
      <c r="P53" s="82"/>
      <c r="R53" s="82"/>
      <c r="T53" s="82"/>
      <c r="V53" s="82"/>
      <c r="X53" s="82"/>
      <c r="Z53" s="82"/>
      <c r="AB53" s="82"/>
      <c r="AD53" s="82"/>
      <c r="AF53" s="82"/>
      <c r="AH53" s="82"/>
      <c r="AJ53" s="82"/>
      <c r="AL53" s="82"/>
      <c r="AN53" s="82"/>
      <c r="AO53" s="60"/>
      <c r="AP53" s="60"/>
      <c r="AQ53" s="60"/>
      <c r="AR53" s="60"/>
      <c r="AS53" s="60"/>
      <c r="AT53" s="60"/>
      <c r="AU53" s="60"/>
    </row>
    <row r="54" spans="1:47" x14ac:dyDescent="0.25">
      <c r="B54" s="82"/>
      <c r="D54" s="82"/>
      <c r="F54" s="82"/>
      <c r="H54" s="82"/>
      <c r="J54" s="82"/>
      <c r="L54" s="82"/>
      <c r="N54" s="82"/>
      <c r="P54" s="82"/>
      <c r="R54" s="82"/>
      <c r="T54" s="82"/>
      <c r="V54" s="82"/>
      <c r="X54" s="82"/>
      <c r="Z54" s="82"/>
      <c r="AB54" s="82"/>
      <c r="AD54" s="82"/>
      <c r="AF54" s="82"/>
      <c r="AH54" s="82"/>
      <c r="AJ54" s="82"/>
      <c r="AL54" s="82"/>
      <c r="AN54" s="82"/>
      <c r="AO54" s="60"/>
      <c r="AP54" s="60"/>
      <c r="AQ54" s="60"/>
      <c r="AR54" s="60"/>
      <c r="AS54" s="60"/>
      <c r="AT54" s="60"/>
      <c r="AU54" s="60"/>
    </row>
    <row r="55" spans="1:47" x14ac:dyDescent="0.25">
      <c r="A55" s="63"/>
      <c r="B55" s="83"/>
      <c r="C55" s="63"/>
      <c r="D55" s="83"/>
      <c r="E55" s="63"/>
      <c r="F55" s="83"/>
      <c r="G55" s="63"/>
      <c r="H55" s="83"/>
      <c r="I55" s="63"/>
      <c r="J55" s="83"/>
      <c r="K55" s="63"/>
      <c r="L55" s="83"/>
      <c r="M55" s="63"/>
      <c r="N55" s="83"/>
      <c r="O55" s="63"/>
      <c r="P55" s="83"/>
      <c r="Q55" s="63"/>
      <c r="R55" s="83"/>
      <c r="S55" s="63"/>
      <c r="T55" s="83"/>
      <c r="U55" s="63"/>
      <c r="V55" s="83"/>
      <c r="W55" s="63"/>
      <c r="X55" s="83"/>
      <c r="Y55" s="63"/>
      <c r="Z55" s="83"/>
      <c r="AA55" s="63"/>
      <c r="AB55" s="83"/>
      <c r="AC55" s="63"/>
      <c r="AD55" s="83"/>
      <c r="AE55" s="63"/>
      <c r="AF55" s="83"/>
      <c r="AG55" s="63"/>
      <c r="AH55" s="83"/>
      <c r="AI55" s="63"/>
      <c r="AJ55" s="83"/>
      <c r="AK55" s="63"/>
      <c r="AL55" s="83"/>
      <c r="AM55" s="63"/>
      <c r="AN55" s="83"/>
      <c r="AO55" s="60"/>
      <c r="AP55" s="60"/>
      <c r="AQ55" s="60"/>
      <c r="AR55" s="60"/>
      <c r="AS55" s="60"/>
      <c r="AT55" s="60"/>
      <c r="AU55" s="60"/>
    </row>
    <row r="56" spans="1:47" x14ac:dyDescent="0.25">
      <c r="AO56" s="60"/>
      <c r="AP56" s="60"/>
      <c r="AQ56" s="60"/>
      <c r="AR56" s="60"/>
      <c r="AS56" s="60"/>
      <c r="AT56" s="60"/>
      <c r="AU56" s="60"/>
    </row>
    <row r="57" spans="1:47" x14ac:dyDescent="0.25">
      <c r="AO57" s="60"/>
      <c r="AP57" s="60"/>
      <c r="AQ57" s="60"/>
      <c r="AR57" s="60"/>
      <c r="AS57" s="60"/>
      <c r="AT57" s="60"/>
      <c r="AU57" s="60"/>
    </row>
    <row r="58" spans="1:47" x14ac:dyDescent="0.25">
      <c r="A58" s="135">
        <v>41</v>
      </c>
      <c r="B58" s="135"/>
      <c r="C58" s="135">
        <f>A58+1</f>
        <v>42</v>
      </c>
      <c r="D58" s="135"/>
      <c r="E58" s="135">
        <f t="shared" ref="E58" si="36">C58+1</f>
        <v>43</v>
      </c>
      <c r="F58" s="135"/>
      <c r="G58" s="135">
        <f t="shared" ref="G58" si="37">E58+1</f>
        <v>44</v>
      </c>
      <c r="H58" s="135"/>
      <c r="I58" s="135">
        <f t="shared" ref="I58" si="38">G58+1</f>
        <v>45</v>
      </c>
      <c r="J58" s="135"/>
      <c r="K58" s="135">
        <f t="shared" ref="K58" si="39">I58+1</f>
        <v>46</v>
      </c>
      <c r="L58" s="135"/>
      <c r="M58" s="135">
        <f t="shared" ref="M58" si="40">K58+1</f>
        <v>47</v>
      </c>
      <c r="N58" s="135"/>
      <c r="O58" s="135">
        <f t="shared" ref="O58" si="41">M58+1</f>
        <v>48</v>
      </c>
      <c r="P58" s="135"/>
      <c r="Q58" s="135">
        <f t="shared" ref="Q58" si="42">O58+1</f>
        <v>49</v>
      </c>
      <c r="R58" s="135"/>
      <c r="S58" s="135">
        <f t="shared" ref="S58" si="43">Q58+1</f>
        <v>50</v>
      </c>
      <c r="T58" s="135"/>
      <c r="U58" s="135">
        <f t="shared" ref="U58" si="44">S58+1</f>
        <v>51</v>
      </c>
      <c r="V58" s="135"/>
      <c r="W58" s="135">
        <f t="shared" ref="W58" si="45">U58+1</f>
        <v>52</v>
      </c>
      <c r="X58" s="135"/>
      <c r="Y58" s="135">
        <f t="shared" ref="Y58" si="46">W58+1</f>
        <v>53</v>
      </c>
      <c r="Z58" s="135"/>
      <c r="AA58" s="135">
        <f t="shared" ref="AA58" si="47">Y58+1</f>
        <v>54</v>
      </c>
      <c r="AB58" s="135"/>
      <c r="AC58" s="135">
        <f t="shared" ref="AC58" si="48">AA58+1</f>
        <v>55</v>
      </c>
      <c r="AD58" s="135"/>
      <c r="AE58" s="135">
        <f t="shared" ref="AE58" si="49">AC58+1</f>
        <v>56</v>
      </c>
      <c r="AF58" s="135"/>
      <c r="AG58" s="135">
        <f t="shared" ref="AG58" si="50">AE58+1</f>
        <v>57</v>
      </c>
      <c r="AH58" s="135"/>
      <c r="AI58" s="135">
        <f t="shared" ref="AI58" si="51">AG58+1</f>
        <v>58</v>
      </c>
      <c r="AJ58" s="135"/>
      <c r="AK58" s="135">
        <f t="shared" ref="AK58" si="52">AI58+1</f>
        <v>59</v>
      </c>
      <c r="AL58" s="135"/>
      <c r="AM58" s="135">
        <f t="shared" ref="AM58" si="53">AK58+1</f>
        <v>60</v>
      </c>
      <c r="AN58" s="135"/>
      <c r="AO58" s="60"/>
      <c r="AP58" s="60"/>
      <c r="AQ58" s="60"/>
      <c r="AR58" s="60"/>
      <c r="AS58" s="60"/>
      <c r="AT58" s="60"/>
      <c r="AU58" s="60"/>
    </row>
    <row r="59" spans="1:47" ht="195" x14ac:dyDescent="0.25">
      <c r="A59" s="60" t="s">
        <v>31</v>
      </c>
      <c r="B59" s="82">
        <v>2</v>
      </c>
      <c r="C59" s="60" t="s">
        <v>31</v>
      </c>
      <c r="D59" s="82">
        <v>1</v>
      </c>
      <c r="E59" s="60" t="s">
        <v>294</v>
      </c>
      <c r="F59" s="82">
        <v>1</v>
      </c>
      <c r="G59" s="60" t="s">
        <v>321</v>
      </c>
      <c r="H59" s="82">
        <v>1</v>
      </c>
      <c r="I59" s="60" t="s">
        <v>464</v>
      </c>
      <c r="J59" s="82">
        <v>1</v>
      </c>
      <c r="K59" s="60" t="s">
        <v>465</v>
      </c>
      <c r="L59" s="82">
        <v>1</v>
      </c>
      <c r="M59" s="60" t="s">
        <v>466</v>
      </c>
      <c r="N59" s="82">
        <v>1</v>
      </c>
      <c r="O59" s="60" t="s">
        <v>477</v>
      </c>
      <c r="P59" s="82">
        <v>1</v>
      </c>
      <c r="Q59" s="60" t="s">
        <v>477</v>
      </c>
      <c r="R59" s="82">
        <v>1</v>
      </c>
      <c r="S59" s="60" t="s">
        <v>477</v>
      </c>
      <c r="T59" s="82">
        <v>1</v>
      </c>
      <c r="U59" s="60" t="s">
        <v>477</v>
      </c>
      <c r="V59" s="82">
        <v>1</v>
      </c>
      <c r="W59" s="60" t="s">
        <v>477</v>
      </c>
      <c r="X59" s="82">
        <v>1</v>
      </c>
      <c r="Y59" s="60" t="s">
        <v>49</v>
      </c>
      <c r="Z59" s="82">
        <v>1</v>
      </c>
      <c r="AA59" s="60" t="s">
        <v>106</v>
      </c>
      <c r="AB59" s="82">
        <v>1</v>
      </c>
      <c r="AC59" s="60" t="s">
        <v>34</v>
      </c>
      <c r="AD59" s="82">
        <v>1</v>
      </c>
      <c r="AE59" s="60" t="s">
        <v>50</v>
      </c>
      <c r="AF59" s="82">
        <v>1</v>
      </c>
      <c r="AG59" s="60" t="s">
        <v>106</v>
      </c>
      <c r="AH59" s="82">
        <v>1</v>
      </c>
      <c r="AI59" s="60" t="s">
        <v>107</v>
      </c>
      <c r="AJ59" s="82">
        <v>1</v>
      </c>
      <c r="AK59" s="60" t="s">
        <v>107</v>
      </c>
      <c r="AL59" s="82">
        <v>1</v>
      </c>
      <c r="AM59" s="60" t="s">
        <v>107</v>
      </c>
      <c r="AN59" s="82">
        <v>1</v>
      </c>
      <c r="AO59" s="60"/>
      <c r="AP59" s="60"/>
      <c r="AQ59" s="60"/>
      <c r="AR59" s="60"/>
      <c r="AS59" s="60"/>
      <c r="AT59" s="60"/>
      <c r="AU59" s="60"/>
    </row>
    <row r="60" spans="1:47" ht="195" x14ac:dyDescent="0.25">
      <c r="A60" s="60" t="s">
        <v>1086</v>
      </c>
      <c r="B60" s="82">
        <v>1</v>
      </c>
      <c r="C60" s="60" t="s">
        <v>463</v>
      </c>
      <c r="D60" s="82">
        <v>1</v>
      </c>
      <c r="E60" s="60" t="s">
        <v>127</v>
      </c>
      <c r="F60" s="82">
        <v>1</v>
      </c>
      <c r="G60" s="60" t="s">
        <v>1087</v>
      </c>
      <c r="H60" s="82">
        <v>1</v>
      </c>
      <c r="I60" s="60" t="s">
        <v>142</v>
      </c>
      <c r="J60" s="82">
        <v>1</v>
      </c>
      <c r="K60" s="60" t="s">
        <v>323</v>
      </c>
      <c r="L60" s="82">
        <v>1</v>
      </c>
      <c r="M60" s="60" t="s">
        <v>477</v>
      </c>
      <c r="N60" s="82">
        <v>1</v>
      </c>
      <c r="O60" s="60" t="s">
        <v>479</v>
      </c>
      <c r="P60" s="82">
        <v>1</v>
      </c>
      <c r="Q60" s="60" t="s">
        <v>479</v>
      </c>
      <c r="R60" s="82">
        <v>1</v>
      </c>
      <c r="S60" s="60" t="s">
        <v>479</v>
      </c>
      <c r="T60" s="82">
        <v>1</v>
      </c>
      <c r="U60" s="60" t="s">
        <v>479</v>
      </c>
      <c r="V60" s="82">
        <v>1</v>
      </c>
      <c r="W60" s="60" t="s">
        <v>479</v>
      </c>
      <c r="X60" s="82">
        <v>1</v>
      </c>
      <c r="Y60" s="60" t="s">
        <v>106</v>
      </c>
      <c r="Z60" s="82">
        <v>1</v>
      </c>
      <c r="AA60" s="60" t="s">
        <v>480</v>
      </c>
      <c r="AB60" s="82">
        <v>1</v>
      </c>
      <c r="AC60" s="60" t="s">
        <v>69</v>
      </c>
      <c r="AD60" s="82">
        <v>1</v>
      </c>
      <c r="AE60" s="60" t="s">
        <v>106</v>
      </c>
      <c r="AF60" s="82">
        <v>1</v>
      </c>
      <c r="AG60" s="60" t="s">
        <v>481</v>
      </c>
      <c r="AH60" s="82">
        <v>1</v>
      </c>
      <c r="AI60" s="60" t="s">
        <v>483</v>
      </c>
      <c r="AJ60" s="82">
        <v>1</v>
      </c>
      <c r="AK60" s="60" t="s">
        <v>483</v>
      </c>
      <c r="AL60" s="82">
        <v>1</v>
      </c>
      <c r="AM60" s="60" t="s">
        <v>483</v>
      </c>
      <c r="AN60" s="82">
        <v>1</v>
      </c>
      <c r="AO60" s="60"/>
      <c r="AP60" s="60"/>
      <c r="AQ60" s="60"/>
      <c r="AR60" s="60"/>
      <c r="AS60" s="60"/>
      <c r="AT60" s="60"/>
      <c r="AU60" s="60"/>
    </row>
    <row r="61" spans="1:47" ht="150" x14ac:dyDescent="0.25">
      <c r="A61" s="60" t="s">
        <v>297</v>
      </c>
      <c r="B61" s="82">
        <v>1</v>
      </c>
      <c r="C61" s="60" t="s">
        <v>32</v>
      </c>
      <c r="D61" s="82">
        <v>1</v>
      </c>
      <c r="E61" s="60" t="s">
        <v>492</v>
      </c>
      <c r="F61" s="82">
        <v>1</v>
      </c>
      <c r="G61" s="60" t="s">
        <v>235</v>
      </c>
      <c r="H61" s="82">
        <v>1</v>
      </c>
      <c r="I61" s="60" t="s">
        <v>200</v>
      </c>
      <c r="J61" s="82">
        <v>1</v>
      </c>
      <c r="K61" s="60" t="s">
        <v>294</v>
      </c>
      <c r="L61" s="82">
        <v>2</v>
      </c>
      <c r="M61" s="60" t="s">
        <v>478</v>
      </c>
      <c r="N61" s="82">
        <v>1</v>
      </c>
      <c r="O61" s="60" t="s">
        <v>292</v>
      </c>
      <c r="P61" s="82">
        <v>1</v>
      </c>
      <c r="Q61" s="60" t="s">
        <v>48</v>
      </c>
      <c r="R61" s="82">
        <v>1</v>
      </c>
      <c r="S61" s="60" t="s">
        <v>169</v>
      </c>
      <c r="T61" s="82">
        <v>1</v>
      </c>
      <c r="U61" s="60" t="s">
        <v>492</v>
      </c>
      <c r="V61" s="82">
        <v>1</v>
      </c>
      <c r="W61" s="60" t="s">
        <v>49</v>
      </c>
      <c r="X61" s="82">
        <v>1</v>
      </c>
      <c r="Y61" s="60" t="s">
        <v>480</v>
      </c>
      <c r="Z61" s="82">
        <v>1</v>
      </c>
      <c r="AA61" s="60" t="s">
        <v>206</v>
      </c>
      <c r="AB61" s="82">
        <v>1</v>
      </c>
      <c r="AC61" s="60" t="s">
        <v>144</v>
      </c>
      <c r="AD61" s="82">
        <v>1</v>
      </c>
      <c r="AE61" s="60" t="s">
        <v>480</v>
      </c>
      <c r="AF61" s="82">
        <v>1</v>
      </c>
      <c r="AG61" s="60" t="s">
        <v>1090</v>
      </c>
      <c r="AH61" s="82">
        <v>3</v>
      </c>
      <c r="AI61" s="60" t="s">
        <v>1091</v>
      </c>
      <c r="AJ61" s="82">
        <v>1</v>
      </c>
      <c r="AK61" s="60" t="s">
        <v>35</v>
      </c>
      <c r="AL61" s="82">
        <v>1</v>
      </c>
      <c r="AM61" s="60" t="s">
        <v>35</v>
      </c>
      <c r="AN61" s="82">
        <v>1</v>
      </c>
      <c r="AO61" s="60"/>
      <c r="AP61" s="60"/>
      <c r="AQ61" s="60"/>
      <c r="AR61" s="60"/>
      <c r="AS61" s="60"/>
      <c r="AT61" s="60"/>
      <c r="AU61" s="60"/>
    </row>
    <row r="62" spans="1:47" ht="195" x14ac:dyDescent="0.25">
      <c r="A62" s="60" t="s">
        <v>267</v>
      </c>
      <c r="B62" s="82">
        <v>1</v>
      </c>
      <c r="C62" s="60" t="s">
        <v>294</v>
      </c>
      <c r="D62" s="82">
        <v>1</v>
      </c>
      <c r="E62" s="60" t="s">
        <v>894</v>
      </c>
      <c r="F62" s="82">
        <v>1</v>
      </c>
      <c r="G62" s="60" t="s">
        <v>477</v>
      </c>
      <c r="H62" s="82">
        <v>1</v>
      </c>
      <c r="I62" s="60" t="s">
        <v>322</v>
      </c>
      <c r="J62" s="82">
        <v>1</v>
      </c>
      <c r="K62" s="60" t="s">
        <v>201</v>
      </c>
      <c r="L62" s="82">
        <v>1</v>
      </c>
      <c r="M62" s="60" t="s">
        <v>479</v>
      </c>
      <c r="N62" s="82">
        <v>1</v>
      </c>
      <c r="O62" s="60" t="s">
        <v>105</v>
      </c>
      <c r="P62" s="82">
        <v>1</v>
      </c>
      <c r="Q62" s="60" t="s">
        <v>143</v>
      </c>
      <c r="R62" s="82">
        <v>1</v>
      </c>
      <c r="S62" s="60" t="s">
        <v>203</v>
      </c>
      <c r="T62" s="82">
        <v>1</v>
      </c>
      <c r="U62" s="60" t="s">
        <v>755</v>
      </c>
      <c r="V62" s="82">
        <v>1</v>
      </c>
      <c r="W62" s="60" t="s">
        <v>106</v>
      </c>
      <c r="X62" s="82">
        <v>1</v>
      </c>
      <c r="Y62" s="60" t="s">
        <v>205</v>
      </c>
      <c r="Z62" s="82">
        <v>1</v>
      </c>
      <c r="AA62" s="60" t="s">
        <v>492</v>
      </c>
      <c r="AB62" s="82">
        <v>1</v>
      </c>
      <c r="AC62" s="60" t="s">
        <v>170</v>
      </c>
      <c r="AD62" s="82">
        <v>1</v>
      </c>
      <c r="AE62" s="60" t="s">
        <v>207</v>
      </c>
      <c r="AF62" s="82">
        <v>1</v>
      </c>
      <c r="AG62" s="60" t="s">
        <v>208</v>
      </c>
      <c r="AH62" s="82">
        <v>1</v>
      </c>
      <c r="AI62" s="60" t="s">
        <v>171</v>
      </c>
      <c r="AJ62" s="82">
        <v>1</v>
      </c>
      <c r="AK62" s="60" t="s">
        <v>1107</v>
      </c>
      <c r="AL62" s="82">
        <v>1</v>
      </c>
      <c r="AM62" s="60" t="s">
        <v>51</v>
      </c>
      <c r="AN62" s="82">
        <v>1</v>
      </c>
      <c r="AO62" s="60"/>
      <c r="AP62" s="60"/>
      <c r="AQ62" s="60"/>
      <c r="AR62" s="60"/>
      <c r="AS62" s="60"/>
      <c r="AT62" s="60"/>
      <c r="AU62" s="60"/>
    </row>
    <row r="63" spans="1:47" ht="195" x14ac:dyDescent="0.25">
      <c r="A63" s="60" t="s">
        <v>168</v>
      </c>
      <c r="B63" s="82">
        <v>1</v>
      </c>
      <c r="C63" s="60" t="s">
        <v>492</v>
      </c>
      <c r="D63" s="82">
        <v>1</v>
      </c>
      <c r="E63" s="60" t="s">
        <v>895</v>
      </c>
      <c r="F63" s="82">
        <v>1</v>
      </c>
      <c r="G63" s="60" t="s">
        <v>479</v>
      </c>
      <c r="H63" s="82">
        <v>1</v>
      </c>
      <c r="I63" s="60" t="s">
        <v>294</v>
      </c>
      <c r="J63" s="82">
        <v>2</v>
      </c>
      <c r="K63" s="60" t="s">
        <v>477</v>
      </c>
      <c r="L63" s="82">
        <v>1</v>
      </c>
      <c r="M63" s="60" t="s">
        <v>292</v>
      </c>
      <c r="N63" s="82">
        <v>1</v>
      </c>
      <c r="O63" s="60" t="s">
        <v>127</v>
      </c>
      <c r="P63" s="82">
        <v>1</v>
      </c>
      <c r="Q63" s="60" t="s">
        <v>202</v>
      </c>
      <c r="R63" s="82">
        <v>1</v>
      </c>
      <c r="S63" s="60" t="s">
        <v>293</v>
      </c>
      <c r="T63" s="82">
        <v>1</v>
      </c>
      <c r="U63" s="60" t="s">
        <v>833</v>
      </c>
      <c r="V63" s="82">
        <v>1</v>
      </c>
      <c r="W63" s="60" t="s">
        <v>480</v>
      </c>
      <c r="X63" s="82">
        <v>1</v>
      </c>
      <c r="Y63" s="60" t="s">
        <v>484</v>
      </c>
      <c r="Z63" s="82">
        <v>1</v>
      </c>
      <c r="AA63" s="60" t="s">
        <v>622</v>
      </c>
      <c r="AB63" s="82">
        <v>1</v>
      </c>
      <c r="AC63" s="60" t="s">
        <v>106</v>
      </c>
      <c r="AD63" s="82">
        <v>1</v>
      </c>
      <c r="AE63" s="60" t="s">
        <v>492</v>
      </c>
      <c r="AF63" s="82">
        <v>1</v>
      </c>
      <c r="AG63" s="60" t="s">
        <v>269</v>
      </c>
      <c r="AH63" s="82">
        <v>1</v>
      </c>
      <c r="AI63" s="60" t="s">
        <v>209</v>
      </c>
      <c r="AJ63" s="82">
        <v>1</v>
      </c>
      <c r="AK63" s="60" t="s">
        <v>299</v>
      </c>
      <c r="AL63" s="82">
        <v>3</v>
      </c>
      <c r="AM63" s="60" t="s">
        <v>210</v>
      </c>
      <c r="AN63" s="82">
        <v>1</v>
      </c>
      <c r="AO63" s="60"/>
      <c r="AP63" s="60"/>
      <c r="AQ63" s="60"/>
      <c r="AR63" s="60"/>
      <c r="AS63" s="60"/>
      <c r="AT63" s="60"/>
      <c r="AU63" s="60"/>
    </row>
    <row r="64" spans="1:47" ht="135" x14ac:dyDescent="0.25">
      <c r="A64" s="60" t="s">
        <v>492</v>
      </c>
      <c r="B64" s="82">
        <v>1</v>
      </c>
      <c r="C64" s="60" t="s">
        <v>894</v>
      </c>
      <c r="D64" s="82">
        <v>1</v>
      </c>
      <c r="E64" s="60" t="s">
        <v>566</v>
      </c>
      <c r="F64" s="82">
        <v>1</v>
      </c>
      <c r="G64" s="60" t="s">
        <v>127</v>
      </c>
      <c r="H64" s="82">
        <v>1</v>
      </c>
      <c r="I64" s="60" t="s">
        <v>235</v>
      </c>
      <c r="J64" s="82">
        <v>1</v>
      </c>
      <c r="K64" s="60" t="s">
        <v>479</v>
      </c>
      <c r="L64" s="82">
        <v>1</v>
      </c>
      <c r="M64" s="60" t="s">
        <v>105</v>
      </c>
      <c r="N64" s="82">
        <v>1</v>
      </c>
      <c r="O64" s="60" t="s">
        <v>492</v>
      </c>
      <c r="P64" s="82">
        <v>1</v>
      </c>
      <c r="Q64" s="60" t="s">
        <v>292</v>
      </c>
      <c r="R64" s="82">
        <v>1</v>
      </c>
      <c r="S64" s="60" t="s">
        <v>105</v>
      </c>
      <c r="T64" s="82">
        <v>1</v>
      </c>
      <c r="U64" s="60"/>
      <c r="V64" s="82"/>
      <c r="W64" s="60" t="s">
        <v>204</v>
      </c>
      <c r="X64" s="82">
        <v>1</v>
      </c>
      <c r="Y64" s="60" t="s">
        <v>492</v>
      </c>
      <c r="Z64" s="82">
        <v>1</v>
      </c>
      <c r="AA64" s="60" t="s">
        <v>757</v>
      </c>
      <c r="AB64" s="82">
        <v>1</v>
      </c>
      <c r="AC64" s="60" t="s">
        <v>480</v>
      </c>
      <c r="AD64" s="82">
        <v>1</v>
      </c>
      <c r="AE64" s="60" t="s">
        <v>573</v>
      </c>
      <c r="AF64" s="82">
        <v>1</v>
      </c>
      <c r="AG64" s="60" t="s">
        <v>296</v>
      </c>
      <c r="AH64" s="82">
        <v>1</v>
      </c>
      <c r="AI64" s="60" t="s">
        <v>237</v>
      </c>
      <c r="AJ64" s="82">
        <v>1</v>
      </c>
      <c r="AK64" s="60" t="s">
        <v>1108</v>
      </c>
      <c r="AL64" s="82">
        <v>1</v>
      </c>
      <c r="AM64" s="60" t="s">
        <v>1093</v>
      </c>
      <c r="AN64" s="82">
        <v>1</v>
      </c>
      <c r="AO64" s="60"/>
      <c r="AP64" s="60"/>
      <c r="AQ64" s="60"/>
      <c r="AR64" s="60"/>
      <c r="AS64" s="60"/>
      <c r="AT64" s="60"/>
      <c r="AU64" s="60"/>
    </row>
    <row r="65" spans="1:47" ht="135" x14ac:dyDescent="0.25">
      <c r="A65" s="60" t="s">
        <v>894</v>
      </c>
      <c r="B65" s="82">
        <v>1</v>
      </c>
      <c r="C65" s="60" t="s">
        <v>895</v>
      </c>
      <c r="D65" s="82">
        <v>1</v>
      </c>
      <c r="E65" s="60" t="s">
        <v>752</v>
      </c>
      <c r="F65" s="82">
        <v>1</v>
      </c>
      <c r="G65" s="60" t="s">
        <v>492</v>
      </c>
      <c r="H65" s="82">
        <v>1</v>
      </c>
      <c r="I65" s="60" t="s">
        <v>477</v>
      </c>
      <c r="J65" s="82">
        <v>1</v>
      </c>
      <c r="K65" s="60" t="s">
        <v>127</v>
      </c>
      <c r="L65" s="82">
        <v>1</v>
      </c>
      <c r="M65" s="60" t="s">
        <v>127</v>
      </c>
      <c r="N65" s="82">
        <v>1</v>
      </c>
      <c r="O65" s="60" t="s">
        <v>1088</v>
      </c>
      <c r="P65" s="82">
        <v>1</v>
      </c>
      <c r="Q65" s="60" t="s">
        <v>105</v>
      </c>
      <c r="R65" s="82">
        <v>1</v>
      </c>
      <c r="S65" s="60" t="s">
        <v>127</v>
      </c>
      <c r="T65" s="82">
        <v>1</v>
      </c>
      <c r="U65" s="60"/>
      <c r="V65" s="82"/>
      <c r="W65" s="60" t="s">
        <v>236</v>
      </c>
      <c r="X65" s="82">
        <v>1</v>
      </c>
      <c r="Y65" s="60" t="s">
        <v>621</v>
      </c>
      <c r="Z65" s="82">
        <v>1</v>
      </c>
      <c r="AA65" s="60"/>
      <c r="AB65" s="82"/>
      <c r="AC65" s="60" t="s">
        <v>207</v>
      </c>
      <c r="AD65" s="82">
        <v>1</v>
      </c>
      <c r="AE65" s="60" t="s">
        <v>757</v>
      </c>
      <c r="AF65" s="82">
        <v>1</v>
      </c>
      <c r="AG65" s="60" t="s">
        <v>35</v>
      </c>
      <c r="AH65" s="82">
        <v>1</v>
      </c>
      <c r="AI65" s="60" t="s">
        <v>1092</v>
      </c>
      <c r="AJ65" s="82">
        <v>1</v>
      </c>
      <c r="AK65" s="60" t="s">
        <v>494</v>
      </c>
      <c r="AL65" s="82">
        <v>1</v>
      </c>
      <c r="AM65" s="60" t="s">
        <v>896</v>
      </c>
      <c r="AN65" s="82">
        <v>1</v>
      </c>
      <c r="AO65" s="60"/>
      <c r="AP65" s="60"/>
      <c r="AQ65" s="60"/>
      <c r="AR65" s="60"/>
      <c r="AS65" s="60"/>
      <c r="AT65" s="60"/>
      <c r="AU65" s="60"/>
    </row>
    <row r="66" spans="1:47" ht="120" x14ac:dyDescent="0.25">
      <c r="A66" s="60" t="s">
        <v>895</v>
      </c>
      <c r="B66" s="82">
        <v>1</v>
      </c>
      <c r="C66" s="60" t="s">
        <v>566</v>
      </c>
      <c r="D66" s="82">
        <v>1</v>
      </c>
      <c r="E66" s="60"/>
      <c r="F66" s="82"/>
      <c r="G66" s="60" t="s">
        <v>894</v>
      </c>
      <c r="H66" s="82">
        <v>1</v>
      </c>
      <c r="I66" s="60" t="s">
        <v>479</v>
      </c>
      <c r="J66" s="82">
        <v>1</v>
      </c>
      <c r="K66" s="60" t="s">
        <v>492</v>
      </c>
      <c r="L66" s="82">
        <v>1</v>
      </c>
      <c r="M66" s="60" t="s">
        <v>492</v>
      </c>
      <c r="N66" s="82">
        <v>1</v>
      </c>
      <c r="O66" s="60" t="s">
        <v>832</v>
      </c>
      <c r="P66" s="82">
        <v>1</v>
      </c>
      <c r="Q66" s="60" t="s">
        <v>127</v>
      </c>
      <c r="R66" s="82">
        <v>1</v>
      </c>
      <c r="S66" s="60" t="s">
        <v>492</v>
      </c>
      <c r="T66" s="82">
        <v>1</v>
      </c>
      <c r="U66" s="60"/>
      <c r="V66" s="82"/>
      <c r="W66" s="60" t="s">
        <v>268</v>
      </c>
      <c r="X66" s="82">
        <v>1</v>
      </c>
      <c r="Y66" s="60" t="s">
        <v>864</v>
      </c>
      <c r="Z66" s="82">
        <v>1</v>
      </c>
      <c r="AA66" s="60"/>
      <c r="AB66" s="82"/>
      <c r="AC66" s="60" t="s">
        <v>492</v>
      </c>
      <c r="AD66" s="82">
        <v>1</v>
      </c>
      <c r="AE66" s="60" t="s">
        <v>836</v>
      </c>
      <c r="AF66" s="82">
        <v>1</v>
      </c>
      <c r="AG66" s="60" t="s">
        <v>492</v>
      </c>
      <c r="AH66" s="82">
        <v>1</v>
      </c>
      <c r="AI66" s="60" t="s">
        <v>298</v>
      </c>
      <c r="AJ66" s="82">
        <v>1</v>
      </c>
      <c r="AK66" s="60" t="s">
        <v>786</v>
      </c>
      <c r="AL66" s="82">
        <v>1</v>
      </c>
      <c r="AM66" s="60" t="s">
        <v>897</v>
      </c>
      <c r="AN66" s="82">
        <v>1</v>
      </c>
      <c r="AO66" s="60"/>
      <c r="AP66" s="60"/>
      <c r="AQ66" s="60"/>
      <c r="AR66" s="60"/>
      <c r="AS66" s="60"/>
      <c r="AT66" s="60"/>
      <c r="AU66" s="60"/>
    </row>
    <row r="67" spans="1:47" ht="120" x14ac:dyDescent="0.25">
      <c r="A67" s="60" t="s">
        <v>615</v>
      </c>
      <c r="B67" s="82">
        <v>1</v>
      </c>
      <c r="C67" s="60" t="s">
        <v>831</v>
      </c>
      <c r="D67" s="82">
        <v>1</v>
      </c>
      <c r="E67" s="60"/>
      <c r="F67" s="82"/>
      <c r="G67" s="60" t="s">
        <v>895</v>
      </c>
      <c r="H67" s="82">
        <v>1</v>
      </c>
      <c r="I67" s="60" t="s">
        <v>127</v>
      </c>
      <c r="J67" s="82">
        <v>1</v>
      </c>
      <c r="K67" s="60" t="s">
        <v>894</v>
      </c>
      <c r="L67" s="82">
        <v>1</v>
      </c>
      <c r="M67" s="60" t="s">
        <v>894</v>
      </c>
      <c r="N67" s="82">
        <v>1</v>
      </c>
      <c r="O67" s="60"/>
      <c r="P67" s="82"/>
      <c r="Q67" s="60" t="s">
        <v>492</v>
      </c>
      <c r="R67" s="82">
        <v>1</v>
      </c>
      <c r="S67" s="60" t="s">
        <v>620</v>
      </c>
      <c r="T67" s="82">
        <v>1</v>
      </c>
      <c r="U67" s="60"/>
      <c r="V67" s="82"/>
      <c r="W67" s="60" t="s">
        <v>295</v>
      </c>
      <c r="X67" s="82">
        <v>1</v>
      </c>
      <c r="Y67" s="60"/>
      <c r="Z67" s="82"/>
      <c r="AA67" s="60"/>
      <c r="AB67" s="82"/>
      <c r="AC67" s="60" t="s">
        <v>542</v>
      </c>
      <c r="AD67" s="82">
        <v>1</v>
      </c>
      <c r="AE67" s="60"/>
      <c r="AF67" s="82"/>
      <c r="AG67" s="60" t="s">
        <v>543</v>
      </c>
      <c r="AH67" s="82">
        <v>1</v>
      </c>
      <c r="AI67" s="60" t="s">
        <v>324</v>
      </c>
      <c r="AJ67" s="82">
        <v>1</v>
      </c>
      <c r="AK67" s="60"/>
      <c r="AL67" s="82"/>
      <c r="AM67" s="60" t="s">
        <v>566</v>
      </c>
      <c r="AN67" s="82">
        <v>1</v>
      </c>
      <c r="AO67" s="60"/>
      <c r="AP67" s="60"/>
      <c r="AQ67" s="60"/>
      <c r="AR67" s="60"/>
      <c r="AS67" s="60"/>
      <c r="AT67" s="60"/>
      <c r="AU67" s="60"/>
    </row>
    <row r="68" spans="1:47" ht="90" x14ac:dyDescent="0.25">
      <c r="A68" s="60" t="s">
        <v>751</v>
      </c>
      <c r="B68" s="82">
        <v>1</v>
      </c>
      <c r="C68" s="60"/>
      <c r="D68" s="82"/>
      <c r="E68" s="60"/>
      <c r="F68" s="82"/>
      <c r="G68" s="60" t="s">
        <v>560</v>
      </c>
      <c r="H68" s="82">
        <v>1</v>
      </c>
      <c r="I68" s="60" t="s">
        <v>492</v>
      </c>
      <c r="J68" s="82">
        <v>1</v>
      </c>
      <c r="K68" s="60" t="s">
        <v>561</v>
      </c>
      <c r="L68" s="82">
        <v>1</v>
      </c>
      <c r="M68" s="60" t="s">
        <v>895</v>
      </c>
      <c r="N68" s="82">
        <v>1</v>
      </c>
      <c r="O68" s="60"/>
      <c r="P68" s="82"/>
      <c r="Q68" s="60" t="s">
        <v>571</v>
      </c>
      <c r="R68" s="82">
        <v>1</v>
      </c>
      <c r="S68" s="60" t="s">
        <v>785</v>
      </c>
      <c r="T68" s="82">
        <v>1</v>
      </c>
      <c r="U68" s="60"/>
      <c r="V68" s="82"/>
      <c r="W68" s="60" t="s">
        <v>492</v>
      </c>
      <c r="X68" s="82">
        <v>1</v>
      </c>
      <c r="Y68" s="60"/>
      <c r="Z68" s="82"/>
      <c r="AA68" s="60"/>
      <c r="AB68" s="82"/>
      <c r="AC68" s="60" t="s">
        <v>573</v>
      </c>
      <c r="AD68" s="82">
        <v>1</v>
      </c>
      <c r="AE68" s="60"/>
      <c r="AF68" s="82"/>
      <c r="AG68" s="60" t="s">
        <v>774</v>
      </c>
      <c r="AH68" s="82">
        <v>1</v>
      </c>
      <c r="AI68" s="60" t="s">
        <v>1093</v>
      </c>
      <c r="AJ68" s="82">
        <v>1</v>
      </c>
      <c r="AK68" s="60"/>
      <c r="AL68" s="82"/>
      <c r="AM68" s="60" t="s">
        <v>625</v>
      </c>
      <c r="AN68" s="82">
        <v>1</v>
      </c>
      <c r="AO68" s="60"/>
      <c r="AP68" s="60"/>
      <c r="AQ68" s="60"/>
      <c r="AR68" s="60"/>
      <c r="AS68" s="60"/>
      <c r="AT68" s="60"/>
      <c r="AU68" s="60"/>
    </row>
    <row r="69" spans="1:47" ht="75" x14ac:dyDescent="0.25">
      <c r="A69" s="61" t="s">
        <v>1121</v>
      </c>
      <c r="B69" s="82">
        <v>1</v>
      </c>
      <c r="C69" s="60"/>
      <c r="D69" s="82"/>
      <c r="E69" s="60"/>
      <c r="F69" s="82"/>
      <c r="G69" s="60" t="s">
        <v>616</v>
      </c>
      <c r="H69" s="82">
        <v>1</v>
      </c>
      <c r="I69" s="60" t="s">
        <v>894</v>
      </c>
      <c r="J69" s="82">
        <v>1</v>
      </c>
      <c r="K69" s="60" t="s">
        <v>570</v>
      </c>
      <c r="L69" s="82">
        <v>1</v>
      </c>
      <c r="M69" s="60" t="s">
        <v>618</v>
      </c>
      <c r="N69" s="82">
        <v>1</v>
      </c>
      <c r="O69" s="60"/>
      <c r="P69" s="82"/>
      <c r="Q69" s="60"/>
      <c r="R69" s="82"/>
      <c r="S69" s="60"/>
      <c r="T69" s="82"/>
      <c r="U69" s="60"/>
      <c r="V69" s="82"/>
      <c r="W69" s="60" t="s">
        <v>541</v>
      </c>
      <c r="X69" s="82">
        <v>1</v>
      </c>
      <c r="Y69" s="60"/>
      <c r="Z69" s="82"/>
      <c r="AA69" s="60"/>
      <c r="AB69" s="82"/>
      <c r="AC69" s="60" t="s">
        <v>773</v>
      </c>
      <c r="AD69" s="82">
        <v>2</v>
      </c>
      <c r="AE69" s="60"/>
      <c r="AF69" s="82"/>
      <c r="AG69" s="60" t="s">
        <v>866</v>
      </c>
      <c r="AH69" s="82">
        <v>1</v>
      </c>
      <c r="AI69" s="60" t="s">
        <v>544</v>
      </c>
      <c r="AJ69" s="82">
        <v>1</v>
      </c>
      <c r="AK69" s="60"/>
      <c r="AL69" s="82"/>
      <c r="AM69" s="60" t="s">
        <v>786</v>
      </c>
      <c r="AN69" s="82">
        <v>1</v>
      </c>
      <c r="AO69" s="60"/>
      <c r="AP69" s="60"/>
      <c r="AQ69" s="60"/>
      <c r="AR69" s="60"/>
      <c r="AS69" s="60"/>
      <c r="AT69" s="60"/>
      <c r="AU69" s="60"/>
    </row>
    <row r="70" spans="1:47" ht="75" x14ac:dyDescent="0.25">
      <c r="A70" s="60" t="s">
        <v>830</v>
      </c>
      <c r="B70" s="82">
        <v>1</v>
      </c>
      <c r="C70" s="60"/>
      <c r="D70" s="82"/>
      <c r="E70" s="60"/>
      <c r="F70" s="82"/>
      <c r="G70" s="60" t="s">
        <v>752</v>
      </c>
      <c r="H70" s="82">
        <v>1</v>
      </c>
      <c r="I70" s="60" t="s">
        <v>617</v>
      </c>
      <c r="J70" s="82">
        <v>1</v>
      </c>
      <c r="K70" s="60" t="s">
        <v>583</v>
      </c>
      <c r="L70" s="82">
        <v>1</v>
      </c>
      <c r="M70" s="60" t="s">
        <v>754</v>
      </c>
      <c r="N70" s="82">
        <v>1</v>
      </c>
      <c r="O70" s="60"/>
      <c r="P70" s="82"/>
      <c r="Q70" s="60"/>
      <c r="R70" s="82"/>
      <c r="S70" s="60"/>
      <c r="T70" s="82"/>
      <c r="U70" s="60"/>
      <c r="V70" s="82"/>
      <c r="W70" s="60" t="s">
        <v>562</v>
      </c>
      <c r="X70" s="82">
        <v>1</v>
      </c>
      <c r="Y70" s="60"/>
      <c r="Z70" s="82"/>
      <c r="AA70" s="60"/>
      <c r="AB70" s="82"/>
      <c r="AC70" s="60" t="s">
        <v>835</v>
      </c>
      <c r="AD70" s="82">
        <v>1</v>
      </c>
      <c r="AE70" s="60"/>
      <c r="AF70" s="82"/>
      <c r="AG70" s="60"/>
      <c r="AH70" s="82"/>
      <c r="AI70" s="60" t="s">
        <v>574</v>
      </c>
      <c r="AJ70" s="82">
        <v>1</v>
      </c>
      <c r="AK70" s="60"/>
      <c r="AL70" s="82"/>
      <c r="AM70" s="60" t="s">
        <v>840</v>
      </c>
      <c r="AN70" s="82">
        <v>1</v>
      </c>
      <c r="AO70" s="60"/>
      <c r="AP70" s="60"/>
      <c r="AQ70" s="60"/>
      <c r="AR70" s="60"/>
      <c r="AS70" s="60"/>
      <c r="AT70" s="60"/>
      <c r="AU70" s="60"/>
    </row>
    <row r="71" spans="1:47" ht="75" x14ac:dyDescent="0.25">
      <c r="A71" s="60"/>
      <c r="B71" s="82"/>
      <c r="C71" s="60"/>
      <c r="D71" s="82"/>
      <c r="E71" s="60"/>
      <c r="F71" s="82"/>
      <c r="G71" s="60"/>
      <c r="H71" s="82"/>
      <c r="I71" s="60" t="s">
        <v>784</v>
      </c>
      <c r="J71" s="82">
        <v>1</v>
      </c>
      <c r="K71" s="60" t="s">
        <v>1105</v>
      </c>
      <c r="L71" s="82">
        <v>1</v>
      </c>
      <c r="M71" s="60" t="s">
        <v>771</v>
      </c>
      <c r="N71" s="82">
        <v>1</v>
      </c>
      <c r="O71" s="60"/>
      <c r="P71" s="82"/>
      <c r="Q71" s="60"/>
      <c r="R71" s="82"/>
      <c r="S71" s="60"/>
      <c r="T71" s="82"/>
      <c r="U71" s="60"/>
      <c r="V71" s="82"/>
      <c r="W71" s="60" t="s">
        <v>572</v>
      </c>
      <c r="X71" s="82">
        <v>1</v>
      </c>
      <c r="Y71" s="60"/>
      <c r="Z71" s="82"/>
      <c r="AA71" s="60"/>
      <c r="AB71" s="82"/>
      <c r="AC71" s="60" t="s">
        <v>865</v>
      </c>
      <c r="AD71" s="82">
        <v>1</v>
      </c>
      <c r="AE71" s="60"/>
      <c r="AF71" s="82"/>
      <c r="AG71" s="60"/>
      <c r="AH71" s="82"/>
      <c r="AI71" s="60" t="s">
        <v>624</v>
      </c>
      <c r="AJ71" s="82">
        <v>1</v>
      </c>
      <c r="AK71" s="60"/>
      <c r="AL71" s="82"/>
      <c r="AM71" s="60"/>
      <c r="AN71" s="82"/>
      <c r="AO71" s="60"/>
      <c r="AP71" s="60"/>
      <c r="AQ71" s="60"/>
      <c r="AR71" s="60"/>
      <c r="AS71" s="60"/>
      <c r="AT71" s="60"/>
      <c r="AU71" s="60"/>
    </row>
    <row r="72" spans="1:47" ht="105" x14ac:dyDescent="0.25">
      <c r="A72" s="60"/>
      <c r="B72" s="82"/>
      <c r="C72" s="60"/>
      <c r="D72" s="82"/>
      <c r="E72" s="60"/>
      <c r="F72" s="82"/>
      <c r="G72" s="60"/>
      <c r="H72" s="82"/>
      <c r="I72" s="60" t="s">
        <v>1122</v>
      </c>
      <c r="J72" s="82">
        <v>1</v>
      </c>
      <c r="K72" s="60"/>
      <c r="L72" s="82"/>
      <c r="M72" s="60"/>
      <c r="N72" s="82"/>
      <c r="O72" s="60"/>
      <c r="P72" s="82"/>
      <c r="Q72" s="60"/>
      <c r="R72" s="82"/>
      <c r="S72" s="60"/>
      <c r="T72" s="82"/>
      <c r="U72" s="60"/>
      <c r="V72" s="82"/>
      <c r="W72" s="60" t="s">
        <v>584</v>
      </c>
      <c r="X72" s="82">
        <v>1</v>
      </c>
      <c r="Y72" s="60"/>
      <c r="Z72" s="82"/>
      <c r="AA72" s="60"/>
      <c r="AB72" s="82"/>
      <c r="AC72" s="60"/>
      <c r="AD72" s="82"/>
      <c r="AE72" s="60"/>
      <c r="AF72" s="82"/>
      <c r="AG72" s="60"/>
      <c r="AH72" s="82"/>
      <c r="AI72" s="60" t="s">
        <v>1125</v>
      </c>
      <c r="AJ72" s="82">
        <v>1</v>
      </c>
      <c r="AK72" s="60"/>
      <c r="AL72" s="82"/>
      <c r="AM72" s="60"/>
      <c r="AN72" s="82"/>
      <c r="AO72" s="60"/>
      <c r="AP72" s="60"/>
      <c r="AQ72" s="60"/>
      <c r="AR72" s="60"/>
      <c r="AS72" s="60"/>
      <c r="AT72" s="60"/>
      <c r="AU72" s="60"/>
    </row>
    <row r="73" spans="1:47" ht="60" x14ac:dyDescent="0.25">
      <c r="A73" s="60"/>
      <c r="B73" s="82"/>
      <c r="C73" s="60"/>
      <c r="D73" s="82"/>
      <c r="E73" s="60"/>
      <c r="F73" s="82"/>
      <c r="G73" s="60"/>
      <c r="H73" s="82"/>
      <c r="I73" s="60"/>
      <c r="J73" s="82"/>
      <c r="K73" s="60"/>
      <c r="L73" s="82"/>
      <c r="M73" s="60"/>
      <c r="N73" s="82"/>
      <c r="O73" s="60"/>
      <c r="P73" s="82"/>
      <c r="Q73" s="60"/>
      <c r="R73" s="82"/>
      <c r="S73" s="60"/>
      <c r="T73" s="82"/>
      <c r="U73" s="60"/>
      <c r="V73" s="82"/>
      <c r="W73" s="60" t="s">
        <v>1089</v>
      </c>
      <c r="X73" s="82">
        <v>1</v>
      </c>
      <c r="Y73" s="60"/>
      <c r="Z73" s="82"/>
      <c r="AA73" s="60"/>
      <c r="AB73" s="82"/>
      <c r="AC73" s="60"/>
      <c r="AD73" s="82"/>
      <c r="AE73" s="60"/>
      <c r="AF73" s="82"/>
      <c r="AG73" s="60"/>
      <c r="AH73" s="82"/>
      <c r="AI73" s="60" t="s">
        <v>1126</v>
      </c>
      <c r="AJ73" s="82">
        <v>1</v>
      </c>
      <c r="AK73" s="60"/>
      <c r="AL73" s="82"/>
      <c r="AM73" s="60"/>
      <c r="AN73" s="82"/>
      <c r="AO73" s="60"/>
      <c r="AP73" s="60"/>
      <c r="AQ73" s="60"/>
      <c r="AR73" s="60"/>
      <c r="AS73" s="60"/>
      <c r="AT73" s="60"/>
      <c r="AU73" s="60"/>
    </row>
    <row r="74" spans="1:47" ht="30" x14ac:dyDescent="0.25">
      <c r="B74" s="82"/>
      <c r="D74" s="82"/>
      <c r="F74" s="82"/>
      <c r="H74" s="82"/>
      <c r="J74" s="82"/>
      <c r="L74" s="82"/>
      <c r="N74" s="82"/>
      <c r="P74" s="82"/>
      <c r="R74" s="82"/>
      <c r="T74" s="82"/>
      <c r="V74" s="82"/>
      <c r="W74" s="61" t="s">
        <v>756</v>
      </c>
      <c r="X74" s="82">
        <v>2</v>
      </c>
      <c r="Z74" s="82"/>
      <c r="AB74" s="82"/>
      <c r="AD74" s="82"/>
      <c r="AF74" s="82"/>
      <c r="AH74" s="82"/>
      <c r="AJ74" s="82"/>
      <c r="AL74" s="82"/>
      <c r="AN74" s="82"/>
      <c r="AO74" s="60"/>
      <c r="AP74" s="60"/>
      <c r="AQ74" s="60"/>
      <c r="AR74" s="60"/>
      <c r="AS74" s="60"/>
      <c r="AT74" s="60"/>
      <c r="AU74" s="60"/>
    </row>
    <row r="75" spans="1:47" ht="60" x14ac:dyDescent="0.25">
      <c r="B75" s="82"/>
      <c r="D75" s="82"/>
      <c r="F75" s="82"/>
      <c r="H75" s="82"/>
      <c r="J75" s="82"/>
      <c r="L75" s="82"/>
      <c r="N75" s="82"/>
      <c r="P75" s="82"/>
      <c r="R75" s="82"/>
      <c r="T75" s="82"/>
      <c r="V75" s="82"/>
      <c r="W75" s="61" t="s">
        <v>1106</v>
      </c>
      <c r="X75" s="82">
        <v>1</v>
      </c>
      <c r="Z75" s="82"/>
      <c r="AB75" s="82"/>
      <c r="AD75" s="82"/>
      <c r="AF75" s="82"/>
      <c r="AH75" s="82"/>
      <c r="AJ75" s="82"/>
      <c r="AL75" s="82"/>
      <c r="AN75" s="82"/>
      <c r="AO75" s="60"/>
      <c r="AP75" s="60"/>
      <c r="AQ75" s="60"/>
      <c r="AR75" s="60"/>
      <c r="AS75" s="60"/>
      <c r="AT75" s="60"/>
      <c r="AU75" s="60"/>
    </row>
    <row r="76" spans="1:47" ht="45" x14ac:dyDescent="0.25">
      <c r="B76" s="82"/>
      <c r="D76" s="82"/>
      <c r="F76" s="82"/>
      <c r="H76" s="82"/>
      <c r="J76" s="82"/>
      <c r="L76" s="82"/>
      <c r="N76" s="82"/>
      <c r="P76" s="82"/>
      <c r="R76" s="82"/>
      <c r="T76" s="82"/>
      <c r="V76" s="82"/>
      <c r="W76" s="61" t="s">
        <v>1111</v>
      </c>
      <c r="X76" s="82">
        <v>1</v>
      </c>
      <c r="Z76" s="82"/>
      <c r="AB76" s="82"/>
      <c r="AD76" s="82"/>
      <c r="AF76" s="82"/>
      <c r="AH76" s="82"/>
      <c r="AJ76" s="82"/>
      <c r="AL76" s="82"/>
      <c r="AN76" s="82"/>
      <c r="AO76" s="60"/>
      <c r="AP76" s="60"/>
      <c r="AQ76" s="60"/>
      <c r="AR76" s="60"/>
      <c r="AS76" s="60"/>
      <c r="AT76" s="60"/>
      <c r="AU76" s="60"/>
    </row>
    <row r="77" spans="1:47" ht="30" x14ac:dyDescent="0.25">
      <c r="B77" s="82"/>
      <c r="D77" s="82"/>
      <c r="F77" s="82"/>
      <c r="H77" s="82"/>
      <c r="J77" s="82"/>
      <c r="L77" s="82"/>
      <c r="N77" s="82"/>
      <c r="P77" s="82"/>
      <c r="R77" s="82"/>
      <c r="T77" s="82"/>
      <c r="V77" s="82"/>
      <c r="W77" s="61" t="s">
        <v>1112</v>
      </c>
      <c r="X77" s="82">
        <v>1</v>
      </c>
      <c r="Z77" s="82"/>
      <c r="AB77" s="82"/>
      <c r="AD77" s="82"/>
      <c r="AF77" s="82"/>
      <c r="AH77" s="82"/>
      <c r="AJ77" s="82"/>
      <c r="AL77" s="82"/>
      <c r="AN77" s="82"/>
      <c r="AO77" s="60"/>
      <c r="AP77" s="60"/>
      <c r="AQ77" s="60"/>
      <c r="AR77" s="60"/>
      <c r="AS77" s="60"/>
      <c r="AT77" s="60"/>
      <c r="AU77" s="60"/>
    </row>
    <row r="78" spans="1:47" ht="60" x14ac:dyDescent="0.25">
      <c r="B78" s="82"/>
      <c r="D78" s="82"/>
      <c r="F78" s="82"/>
      <c r="H78" s="82"/>
      <c r="J78" s="82"/>
      <c r="L78" s="82"/>
      <c r="N78" s="82"/>
      <c r="P78" s="82"/>
      <c r="R78" s="82"/>
      <c r="T78" s="82"/>
      <c r="V78" s="82"/>
      <c r="W78" s="61" t="s">
        <v>834</v>
      </c>
      <c r="X78" s="82">
        <v>1</v>
      </c>
      <c r="Z78" s="82"/>
      <c r="AB78" s="82"/>
      <c r="AD78" s="82"/>
      <c r="AF78" s="82"/>
      <c r="AH78" s="82"/>
      <c r="AJ78" s="82"/>
      <c r="AL78" s="82"/>
      <c r="AN78" s="82"/>
      <c r="AO78" s="60"/>
      <c r="AP78" s="60"/>
      <c r="AQ78" s="60"/>
      <c r="AR78" s="60"/>
      <c r="AS78" s="60"/>
      <c r="AT78" s="60"/>
      <c r="AU78" s="60"/>
    </row>
    <row r="79" spans="1:47" ht="30" x14ac:dyDescent="0.25">
      <c r="B79" s="82"/>
      <c r="D79" s="82"/>
      <c r="F79" s="82"/>
      <c r="H79" s="82"/>
      <c r="J79" s="82"/>
      <c r="L79" s="82"/>
      <c r="N79" s="82"/>
      <c r="P79" s="82"/>
      <c r="R79" s="82"/>
      <c r="T79" s="82"/>
      <c r="V79" s="82"/>
      <c r="W79" s="61" t="s">
        <v>863</v>
      </c>
      <c r="X79" s="82">
        <v>1</v>
      </c>
      <c r="Z79" s="82"/>
      <c r="AB79" s="82"/>
      <c r="AD79" s="82"/>
      <c r="AF79" s="82"/>
      <c r="AH79" s="82"/>
      <c r="AJ79" s="82"/>
      <c r="AL79" s="82"/>
      <c r="AN79" s="82"/>
      <c r="AO79" s="60"/>
      <c r="AP79" s="60"/>
      <c r="AQ79" s="60"/>
      <c r="AR79" s="60"/>
      <c r="AS79" s="60"/>
      <c r="AT79" s="60"/>
      <c r="AU79" s="60"/>
    </row>
    <row r="80" spans="1:47" x14ac:dyDescent="0.25">
      <c r="B80" s="82"/>
      <c r="D80" s="82"/>
      <c r="F80" s="82"/>
      <c r="H80" s="82"/>
      <c r="J80" s="82"/>
      <c r="L80" s="82"/>
      <c r="N80" s="82"/>
      <c r="P80" s="82"/>
      <c r="R80" s="82"/>
      <c r="T80" s="82"/>
      <c r="V80" s="82"/>
      <c r="X80" s="82"/>
      <c r="Z80" s="82"/>
      <c r="AB80" s="82"/>
      <c r="AD80" s="82"/>
      <c r="AF80" s="82"/>
      <c r="AH80" s="82"/>
      <c r="AJ80" s="82"/>
      <c r="AL80" s="82"/>
      <c r="AN80" s="82"/>
      <c r="AO80" s="60"/>
      <c r="AP80" s="60"/>
      <c r="AQ80" s="60"/>
      <c r="AR80" s="60"/>
      <c r="AS80" s="60"/>
      <c r="AT80" s="60"/>
      <c r="AU80" s="60"/>
    </row>
    <row r="81" spans="1:47" x14ac:dyDescent="0.25">
      <c r="A81" s="63"/>
      <c r="B81" s="83"/>
      <c r="C81" s="63"/>
      <c r="D81" s="83"/>
      <c r="E81" s="63"/>
      <c r="F81" s="83"/>
      <c r="G81" s="63"/>
      <c r="H81" s="83"/>
      <c r="I81" s="63"/>
      <c r="J81" s="83"/>
      <c r="K81" s="63"/>
      <c r="L81" s="83"/>
      <c r="M81" s="63"/>
      <c r="N81" s="83"/>
      <c r="O81" s="63"/>
      <c r="P81" s="83"/>
      <c r="Q81" s="63"/>
      <c r="R81" s="83"/>
      <c r="S81" s="63"/>
      <c r="T81" s="83"/>
      <c r="U81" s="63"/>
      <c r="V81" s="83"/>
      <c r="W81" s="63"/>
      <c r="X81" s="83"/>
      <c r="Y81" s="63"/>
      <c r="Z81" s="83"/>
      <c r="AA81" s="63"/>
      <c r="AB81" s="83"/>
      <c r="AC81" s="63"/>
      <c r="AD81" s="83"/>
      <c r="AE81" s="63"/>
      <c r="AF81" s="83"/>
      <c r="AG81" s="63"/>
      <c r="AH81" s="83"/>
      <c r="AI81" s="63"/>
      <c r="AJ81" s="83"/>
      <c r="AK81" s="63"/>
      <c r="AL81" s="83"/>
      <c r="AM81" s="63"/>
      <c r="AN81" s="83"/>
      <c r="AO81" s="60"/>
      <c r="AP81" s="60"/>
      <c r="AQ81" s="60"/>
      <c r="AR81" s="60"/>
      <c r="AS81" s="60"/>
      <c r="AT81" s="60"/>
      <c r="AU81" s="60"/>
    </row>
    <row r="82" spans="1:47" x14ac:dyDescent="0.25">
      <c r="AO82" s="60"/>
      <c r="AP82" s="60"/>
      <c r="AQ82" s="60"/>
      <c r="AR82" s="60"/>
      <c r="AS82" s="60"/>
      <c r="AT82" s="60"/>
      <c r="AU82" s="60"/>
    </row>
    <row r="83" spans="1:47" x14ac:dyDescent="0.25">
      <c r="AO83" s="60"/>
      <c r="AP83" s="60"/>
      <c r="AQ83" s="60"/>
      <c r="AR83" s="60"/>
      <c r="AS83" s="60"/>
      <c r="AT83" s="60"/>
      <c r="AU83" s="60"/>
    </row>
    <row r="84" spans="1:47" x14ac:dyDescent="0.25">
      <c r="A84" s="135">
        <v>61</v>
      </c>
      <c r="B84" s="135"/>
      <c r="C84" s="135">
        <f>A84+1</f>
        <v>62</v>
      </c>
      <c r="D84" s="135"/>
      <c r="E84" s="135">
        <f t="shared" ref="E84" si="54">C84+1</f>
        <v>63</v>
      </c>
      <c r="F84" s="135"/>
      <c r="G84" s="135">
        <f t="shared" ref="G84" si="55">E84+1</f>
        <v>64</v>
      </c>
      <c r="H84" s="135"/>
      <c r="I84" s="135">
        <f t="shared" ref="I84" si="56">G84+1</f>
        <v>65</v>
      </c>
      <c r="J84" s="135"/>
      <c r="K84" s="135">
        <f t="shared" ref="K84" si="57">I84+1</f>
        <v>66</v>
      </c>
      <c r="L84" s="135"/>
      <c r="M84" s="135">
        <f t="shared" ref="M84" si="58">K84+1</f>
        <v>67</v>
      </c>
      <c r="N84" s="135"/>
      <c r="O84" s="135">
        <f t="shared" ref="O84" si="59">M84+1</f>
        <v>68</v>
      </c>
      <c r="P84" s="135"/>
      <c r="Q84" s="135">
        <f t="shared" ref="Q84" si="60">O84+1</f>
        <v>69</v>
      </c>
      <c r="R84" s="135"/>
      <c r="S84" s="135">
        <f t="shared" ref="S84" si="61">Q84+1</f>
        <v>70</v>
      </c>
      <c r="T84" s="135"/>
      <c r="U84" s="135">
        <f t="shared" ref="U84" si="62">S84+1</f>
        <v>71</v>
      </c>
      <c r="V84" s="135"/>
      <c r="W84" s="135">
        <f t="shared" ref="W84" si="63">U84+1</f>
        <v>72</v>
      </c>
      <c r="X84" s="135"/>
      <c r="Y84" s="135"/>
      <c r="Z84" s="135"/>
      <c r="AA84" s="135"/>
      <c r="AB84" s="135"/>
      <c r="AC84" s="135"/>
      <c r="AD84" s="135"/>
      <c r="AE84" s="135"/>
      <c r="AF84" s="135"/>
      <c r="AG84" s="135"/>
      <c r="AH84" s="135"/>
      <c r="AI84" s="135"/>
      <c r="AJ84" s="135"/>
      <c r="AK84" s="135"/>
      <c r="AL84" s="135"/>
      <c r="AM84" s="135"/>
      <c r="AN84" s="135"/>
      <c r="AO84" s="60"/>
      <c r="AP84" s="60"/>
      <c r="AQ84" s="60"/>
      <c r="AR84" s="60"/>
      <c r="AS84" s="60"/>
      <c r="AT84" s="60"/>
      <c r="AU84" s="60"/>
    </row>
    <row r="85" spans="1:47" ht="135" x14ac:dyDescent="0.25">
      <c r="A85" s="60" t="s">
        <v>35</v>
      </c>
      <c r="B85" s="82">
        <v>1</v>
      </c>
      <c r="C85" s="60" t="s">
        <v>35</v>
      </c>
      <c r="D85" s="82">
        <v>1</v>
      </c>
      <c r="E85" s="60" t="s">
        <v>35</v>
      </c>
      <c r="F85" s="82">
        <v>1</v>
      </c>
      <c r="G85" s="60" t="s">
        <v>35</v>
      </c>
      <c r="H85" s="82">
        <v>1</v>
      </c>
      <c r="I85" s="60" t="s">
        <v>52</v>
      </c>
      <c r="J85" s="82">
        <v>1</v>
      </c>
      <c r="K85" s="60" t="s">
        <v>52</v>
      </c>
      <c r="L85" s="82">
        <v>1</v>
      </c>
      <c r="M85" s="60" t="s">
        <v>173</v>
      </c>
      <c r="N85" s="82">
        <v>1</v>
      </c>
      <c r="O85" s="60" t="s">
        <v>173</v>
      </c>
      <c r="P85" s="82">
        <v>1</v>
      </c>
      <c r="Q85" s="60" t="s">
        <v>486</v>
      </c>
      <c r="R85" s="82">
        <v>1</v>
      </c>
      <c r="S85" s="60" t="s">
        <v>303</v>
      </c>
      <c r="T85" s="82">
        <v>1</v>
      </c>
      <c r="U85" s="60" t="s">
        <v>36</v>
      </c>
      <c r="V85" s="82">
        <v>1</v>
      </c>
      <c r="W85" s="60" t="s">
        <v>36</v>
      </c>
      <c r="X85" s="82">
        <v>1</v>
      </c>
      <c r="Y85" s="60"/>
      <c r="Z85" s="82"/>
      <c r="AA85" s="60"/>
      <c r="AB85" s="82"/>
      <c r="AC85" s="60"/>
      <c r="AD85" s="82"/>
      <c r="AE85" s="60"/>
      <c r="AF85" s="82"/>
      <c r="AG85" s="60"/>
      <c r="AH85" s="82"/>
      <c r="AI85" s="60"/>
      <c r="AJ85" s="82"/>
      <c r="AK85" s="60"/>
      <c r="AL85" s="82"/>
      <c r="AM85" s="60"/>
      <c r="AN85" s="82"/>
      <c r="AO85" s="60"/>
      <c r="AP85" s="60"/>
      <c r="AQ85" s="60"/>
      <c r="AR85" s="60"/>
      <c r="AS85" s="60"/>
      <c r="AT85" s="60"/>
      <c r="AU85" s="60"/>
    </row>
    <row r="86" spans="1:47" ht="135" x14ac:dyDescent="0.25">
      <c r="A86" s="60" t="s">
        <v>211</v>
      </c>
      <c r="B86" s="82">
        <v>1</v>
      </c>
      <c r="C86" s="60" t="s">
        <v>300</v>
      </c>
      <c r="D86" s="82">
        <v>1</v>
      </c>
      <c r="E86" s="60" t="s">
        <v>108</v>
      </c>
      <c r="F86" s="82">
        <v>1</v>
      </c>
      <c r="G86" s="60" t="s">
        <v>173</v>
      </c>
      <c r="H86" s="82">
        <v>1</v>
      </c>
      <c r="I86" s="60" t="s">
        <v>173</v>
      </c>
      <c r="J86" s="82">
        <v>1</v>
      </c>
      <c r="K86" s="60" t="s">
        <v>37</v>
      </c>
      <c r="L86" s="82">
        <v>1</v>
      </c>
      <c r="M86" s="60" t="s">
        <v>485</v>
      </c>
      <c r="N86" s="82">
        <v>1</v>
      </c>
      <c r="O86" s="60" t="s">
        <v>486</v>
      </c>
      <c r="P86" s="82">
        <v>1</v>
      </c>
      <c r="Q86" s="60" t="s">
        <v>303</v>
      </c>
      <c r="R86" s="82">
        <v>1</v>
      </c>
      <c r="S86" s="60" t="s">
        <v>488</v>
      </c>
      <c r="T86" s="82">
        <v>1</v>
      </c>
      <c r="U86" s="60" t="s">
        <v>53</v>
      </c>
      <c r="V86" s="82">
        <v>1</v>
      </c>
      <c r="W86" s="60" t="s">
        <v>53</v>
      </c>
      <c r="X86" s="82">
        <v>1</v>
      </c>
      <c r="Y86" s="60"/>
      <c r="Z86" s="82"/>
      <c r="AA86" s="60"/>
      <c r="AB86" s="82"/>
      <c r="AC86" s="60"/>
      <c r="AD86" s="82"/>
      <c r="AE86" s="60"/>
      <c r="AF86" s="82"/>
      <c r="AG86" s="60"/>
      <c r="AH86" s="82"/>
      <c r="AI86" s="60"/>
      <c r="AJ86" s="82"/>
      <c r="AK86" s="60"/>
      <c r="AL86" s="82"/>
      <c r="AM86" s="60"/>
      <c r="AN86" s="82"/>
      <c r="AO86" s="60"/>
      <c r="AP86" s="60"/>
      <c r="AQ86" s="60"/>
      <c r="AR86" s="60"/>
      <c r="AS86" s="60"/>
      <c r="AT86" s="60"/>
      <c r="AU86" s="60"/>
    </row>
    <row r="87" spans="1:47" ht="195" x14ac:dyDescent="0.25">
      <c r="A87" s="60" t="s">
        <v>271</v>
      </c>
      <c r="B87" s="82">
        <v>1</v>
      </c>
      <c r="C87" s="60" t="s">
        <v>70</v>
      </c>
      <c r="D87" s="82">
        <v>1</v>
      </c>
      <c r="E87" s="60" t="s">
        <v>129</v>
      </c>
      <c r="F87" s="82">
        <v>1</v>
      </c>
      <c r="G87" s="60" t="s">
        <v>493</v>
      </c>
      <c r="H87" s="82">
        <v>1</v>
      </c>
      <c r="I87" s="60" t="s">
        <v>486</v>
      </c>
      <c r="J87" s="82">
        <v>1</v>
      </c>
      <c r="K87" s="60" t="s">
        <v>173</v>
      </c>
      <c r="L87" s="82">
        <v>1</v>
      </c>
      <c r="M87" s="60" t="s">
        <v>273</v>
      </c>
      <c r="N87" s="82">
        <v>1</v>
      </c>
      <c r="O87" s="60" t="s">
        <v>303</v>
      </c>
      <c r="P87" s="82">
        <v>1</v>
      </c>
      <c r="Q87" s="60" t="s">
        <v>487</v>
      </c>
      <c r="R87" s="82">
        <v>1</v>
      </c>
      <c r="S87" s="60" t="s">
        <v>90</v>
      </c>
      <c r="T87" s="82">
        <v>1</v>
      </c>
      <c r="U87" s="60" t="s">
        <v>109</v>
      </c>
      <c r="V87" s="82">
        <v>1</v>
      </c>
      <c r="W87" s="60" t="s">
        <v>109</v>
      </c>
      <c r="X87" s="82">
        <v>1</v>
      </c>
      <c r="Y87" s="60"/>
      <c r="Z87" s="82"/>
      <c r="AA87" s="60"/>
      <c r="AB87" s="82"/>
      <c r="AC87" s="60"/>
      <c r="AD87" s="82"/>
      <c r="AE87" s="60"/>
      <c r="AF87" s="82"/>
      <c r="AG87" s="60"/>
      <c r="AH87" s="82"/>
      <c r="AI87" s="60"/>
      <c r="AJ87" s="82"/>
      <c r="AK87" s="60"/>
      <c r="AL87" s="82"/>
      <c r="AM87" s="60"/>
      <c r="AN87" s="82"/>
      <c r="AO87" s="60"/>
      <c r="AP87" s="60"/>
      <c r="AQ87" s="60"/>
      <c r="AR87" s="60"/>
      <c r="AS87" s="60"/>
      <c r="AT87" s="60"/>
      <c r="AU87" s="60"/>
    </row>
    <row r="88" spans="1:47" ht="195" x14ac:dyDescent="0.25">
      <c r="A88" s="60" t="s">
        <v>300</v>
      </c>
      <c r="B88" s="82">
        <v>1</v>
      </c>
      <c r="C88" s="60" t="s">
        <v>1094</v>
      </c>
      <c r="D88" s="82">
        <v>1</v>
      </c>
      <c r="E88" s="60" t="s">
        <v>213</v>
      </c>
      <c r="F88" s="82">
        <v>1</v>
      </c>
      <c r="G88" s="60" t="s">
        <v>628</v>
      </c>
      <c r="H88" s="82">
        <v>1</v>
      </c>
      <c r="I88" s="60" t="s">
        <v>109</v>
      </c>
      <c r="J88" s="82">
        <v>1</v>
      </c>
      <c r="K88" s="60" t="s">
        <v>146</v>
      </c>
      <c r="L88" s="82">
        <v>1</v>
      </c>
      <c r="M88" s="60" t="s">
        <v>486</v>
      </c>
      <c r="N88" s="82">
        <v>1</v>
      </c>
      <c r="O88" s="60" t="s">
        <v>1099</v>
      </c>
      <c r="P88" s="82">
        <v>1</v>
      </c>
      <c r="Q88" s="60" t="s">
        <v>90</v>
      </c>
      <c r="R88" s="82">
        <v>1</v>
      </c>
      <c r="S88" s="60" t="s">
        <v>109</v>
      </c>
      <c r="T88" s="82">
        <v>1</v>
      </c>
      <c r="U88" s="60" t="s">
        <v>490</v>
      </c>
      <c r="V88" s="82">
        <v>1</v>
      </c>
      <c r="W88" s="60" t="s">
        <v>490</v>
      </c>
      <c r="X88" s="82">
        <v>1</v>
      </c>
      <c r="Y88" s="60"/>
      <c r="Z88" s="82"/>
      <c r="AA88" s="60"/>
      <c r="AB88" s="82"/>
      <c r="AC88" s="60"/>
      <c r="AD88" s="82"/>
      <c r="AE88" s="60"/>
      <c r="AF88" s="82"/>
      <c r="AG88" s="60"/>
      <c r="AH88" s="82"/>
      <c r="AI88" s="60"/>
      <c r="AJ88" s="82"/>
      <c r="AK88" s="60"/>
      <c r="AL88" s="82"/>
      <c r="AM88" s="60"/>
      <c r="AN88" s="82"/>
      <c r="AO88" s="60"/>
      <c r="AP88" s="60"/>
      <c r="AQ88" s="60"/>
      <c r="AR88" s="60"/>
      <c r="AS88" s="60"/>
      <c r="AT88" s="60"/>
      <c r="AU88" s="60"/>
    </row>
    <row r="89" spans="1:47" ht="195" x14ac:dyDescent="0.25">
      <c r="A89" s="60" t="s">
        <v>494</v>
      </c>
      <c r="B89" s="82">
        <v>1</v>
      </c>
      <c r="C89" s="60" t="s">
        <v>145</v>
      </c>
      <c r="D89" s="82">
        <v>1</v>
      </c>
      <c r="E89" s="60" t="s">
        <v>1097</v>
      </c>
      <c r="F89" s="82">
        <v>1</v>
      </c>
      <c r="G89" s="60" t="s">
        <v>776</v>
      </c>
      <c r="H89" s="82">
        <v>1</v>
      </c>
      <c r="I89" s="60" t="s">
        <v>493</v>
      </c>
      <c r="J89" s="82">
        <v>1</v>
      </c>
      <c r="K89" s="60" t="s">
        <v>328</v>
      </c>
      <c r="L89" s="82">
        <v>1</v>
      </c>
      <c r="M89" s="60" t="s">
        <v>303</v>
      </c>
      <c r="N89" s="82">
        <v>1</v>
      </c>
      <c r="O89" s="60" t="s">
        <v>487</v>
      </c>
      <c r="P89" s="82">
        <v>1</v>
      </c>
      <c r="Q89" s="60" t="s">
        <v>109</v>
      </c>
      <c r="R89" s="82">
        <v>1</v>
      </c>
      <c r="S89" s="60" t="s">
        <v>489</v>
      </c>
      <c r="T89" s="82">
        <v>1</v>
      </c>
      <c r="U89" s="60" t="s">
        <v>176</v>
      </c>
      <c r="V89" s="82">
        <v>1</v>
      </c>
      <c r="W89" s="60" t="s">
        <v>176</v>
      </c>
      <c r="X89" s="82">
        <v>1</v>
      </c>
      <c r="Y89" s="60"/>
      <c r="Z89" s="82"/>
      <c r="AA89" s="60"/>
      <c r="AB89" s="82"/>
      <c r="AC89" s="60"/>
      <c r="AD89" s="82"/>
      <c r="AE89" s="60"/>
      <c r="AF89" s="82"/>
      <c r="AG89" s="60"/>
      <c r="AH89" s="82"/>
      <c r="AI89" s="60"/>
      <c r="AJ89" s="82"/>
      <c r="AK89" s="60"/>
      <c r="AL89" s="82"/>
      <c r="AM89" s="60"/>
      <c r="AN89" s="82"/>
    </row>
    <row r="90" spans="1:47" ht="135" x14ac:dyDescent="0.25">
      <c r="A90" s="60" t="s">
        <v>898</v>
      </c>
      <c r="B90" s="82">
        <v>1</v>
      </c>
      <c r="C90" s="60" t="s">
        <v>212</v>
      </c>
      <c r="D90" s="82">
        <v>1</v>
      </c>
      <c r="E90" s="60" t="s">
        <v>327</v>
      </c>
      <c r="F90" s="82">
        <v>1</v>
      </c>
      <c r="G90" s="60"/>
      <c r="H90" s="82"/>
      <c r="I90" s="60" t="s">
        <v>566</v>
      </c>
      <c r="J90" s="82">
        <v>1</v>
      </c>
      <c r="K90" s="60" t="s">
        <v>485</v>
      </c>
      <c r="L90" s="82">
        <v>1</v>
      </c>
      <c r="M90" s="60" t="s">
        <v>329</v>
      </c>
      <c r="N90" s="82">
        <v>1</v>
      </c>
      <c r="O90" s="60" t="s">
        <v>1100</v>
      </c>
      <c r="P90" s="82">
        <v>1</v>
      </c>
      <c r="Q90" s="60" t="s">
        <v>489</v>
      </c>
      <c r="R90" s="82">
        <v>1</v>
      </c>
      <c r="S90" s="60" t="s">
        <v>148</v>
      </c>
      <c r="T90" s="82">
        <v>2</v>
      </c>
      <c r="U90" s="60" t="s">
        <v>216</v>
      </c>
      <c r="V90" s="82">
        <v>1</v>
      </c>
      <c r="W90" s="60" t="s">
        <v>216</v>
      </c>
      <c r="X90" s="82">
        <v>1</v>
      </c>
      <c r="Y90" s="60"/>
      <c r="Z90" s="82"/>
      <c r="AA90" s="60"/>
      <c r="AB90" s="82"/>
      <c r="AC90" s="60"/>
      <c r="AD90" s="82"/>
      <c r="AE90" s="60"/>
      <c r="AF90" s="82"/>
      <c r="AG90" s="60"/>
      <c r="AH90" s="82"/>
      <c r="AI90" s="60"/>
      <c r="AJ90" s="82"/>
      <c r="AK90" s="60"/>
      <c r="AL90" s="82"/>
      <c r="AM90" s="60"/>
      <c r="AN90" s="82"/>
    </row>
    <row r="91" spans="1:47" ht="195" x14ac:dyDescent="0.25">
      <c r="A91" s="60" t="s">
        <v>566</v>
      </c>
      <c r="B91" s="82">
        <v>1</v>
      </c>
      <c r="C91" s="60" t="s">
        <v>272</v>
      </c>
      <c r="D91" s="82">
        <v>1</v>
      </c>
      <c r="E91" s="60" t="s">
        <v>173</v>
      </c>
      <c r="F91" s="82">
        <v>1</v>
      </c>
      <c r="G91" s="60"/>
      <c r="H91" s="82"/>
      <c r="I91" s="60" t="s">
        <v>629</v>
      </c>
      <c r="J91" s="82">
        <v>1</v>
      </c>
      <c r="K91" s="60" t="s">
        <v>273</v>
      </c>
      <c r="L91" s="82">
        <v>1</v>
      </c>
      <c r="M91" s="60" t="s">
        <v>109</v>
      </c>
      <c r="N91" s="82">
        <v>1</v>
      </c>
      <c r="O91" s="60" t="s">
        <v>109</v>
      </c>
      <c r="P91" s="82">
        <v>1</v>
      </c>
      <c r="Q91" s="60" t="s">
        <v>147</v>
      </c>
      <c r="R91" s="82">
        <v>1</v>
      </c>
      <c r="S91" s="60" t="s">
        <v>175</v>
      </c>
      <c r="T91" s="82">
        <v>1</v>
      </c>
      <c r="U91" s="60" t="s">
        <v>230</v>
      </c>
      <c r="V91" s="82">
        <v>1</v>
      </c>
      <c r="W91" s="60" t="s">
        <v>230</v>
      </c>
      <c r="X91" s="82">
        <v>1</v>
      </c>
      <c r="Y91" s="60"/>
      <c r="Z91" s="82"/>
      <c r="AA91" s="60"/>
      <c r="AB91" s="82"/>
      <c r="AC91" s="60"/>
      <c r="AD91" s="82"/>
      <c r="AE91" s="60"/>
      <c r="AF91" s="82"/>
      <c r="AG91" s="60"/>
      <c r="AH91" s="82"/>
      <c r="AI91" s="60"/>
      <c r="AJ91" s="82"/>
      <c r="AK91" s="60"/>
      <c r="AL91" s="82"/>
      <c r="AM91" s="60"/>
      <c r="AN91" s="82"/>
    </row>
    <row r="92" spans="1:47" ht="120" x14ac:dyDescent="0.25">
      <c r="A92" s="60"/>
      <c r="B92" s="82"/>
      <c r="C92" s="60" t="s">
        <v>1095</v>
      </c>
      <c r="D92" s="82">
        <v>1</v>
      </c>
      <c r="E92" s="60" t="s">
        <v>493</v>
      </c>
      <c r="F92" s="82">
        <v>1</v>
      </c>
      <c r="G92" s="60"/>
      <c r="H92" s="82"/>
      <c r="I92" s="60" t="s">
        <v>527</v>
      </c>
      <c r="J92" s="82">
        <v>1</v>
      </c>
      <c r="K92" s="60" t="s">
        <v>486</v>
      </c>
      <c r="L92" s="82">
        <v>1</v>
      </c>
      <c r="M92" s="60" t="s">
        <v>489</v>
      </c>
      <c r="N92" s="82">
        <v>1</v>
      </c>
      <c r="O92" s="60" t="s">
        <v>489</v>
      </c>
      <c r="P92" s="82">
        <v>1</v>
      </c>
      <c r="Q92" s="60" t="s">
        <v>761</v>
      </c>
      <c r="R92" s="82">
        <v>2</v>
      </c>
      <c r="S92" s="60" t="s">
        <v>215</v>
      </c>
      <c r="T92" s="82">
        <v>1</v>
      </c>
      <c r="U92" s="60" t="s">
        <v>302</v>
      </c>
      <c r="V92" s="82">
        <v>1</v>
      </c>
      <c r="W92" s="60" t="s">
        <v>302</v>
      </c>
      <c r="X92" s="82">
        <v>1</v>
      </c>
      <c r="Y92" s="60"/>
      <c r="Z92" s="82"/>
      <c r="AA92" s="60"/>
      <c r="AB92" s="82"/>
      <c r="AC92" s="60"/>
      <c r="AD92" s="82"/>
      <c r="AE92" s="60"/>
      <c r="AF92" s="82"/>
      <c r="AG92" s="60"/>
      <c r="AH92" s="82"/>
      <c r="AI92" s="60"/>
      <c r="AJ92" s="82"/>
      <c r="AK92" s="60"/>
      <c r="AL92" s="82"/>
      <c r="AM92" s="60"/>
      <c r="AN92" s="82"/>
    </row>
    <row r="93" spans="1:47" ht="90" x14ac:dyDescent="0.25">
      <c r="A93" s="60"/>
      <c r="B93" s="82"/>
      <c r="C93" s="60" t="s">
        <v>108</v>
      </c>
      <c r="D93" s="82">
        <v>1</v>
      </c>
      <c r="E93" s="60" t="s">
        <v>566</v>
      </c>
      <c r="F93" s="82">
        <v>2</v>
      </c>
      <c r="G93" s="60"/>
      <c r="H93" s="82"/>
      <c r="I93" s="60" t="s">
        <v>842</v>
      </c>
      <c r="J93" s="82">
        <v>1</v>
      </c>
      <c r="K93" s="60" t="s">
        <v>303</v>
      </c>
      <c r="L93" s="82">
        <v>1</v>
      </c>
      <c r="M93" s="60" t="s">
        <v>491</v>
      </c>
      <c r="N93" s="82">
        <v>1</v>
      </c>
      <c r="O93" s="60" t="s">
        <v>491</v>
      </c>
      <c r="P93" s="82">
        <v>1</v>
      </c>
      <c r="Q93" s="60" t="s">
        <v>491</v>
      </c>
      <c r="R93" s="82">
        <v>1</v>
      </c>
      <c r="S93" s="60" t="s">
        <v>229</v>
      </c>
      <c r="T93" s="82">
        <v>1</v>
      </c>
      <c r="U93" s="60" t="s">
        <v>336</v>
      </c>
      <c r="V93" s="82">
        <v>1</v>
      </c>
      <c r="W93" s="60" t="s">
        <v>239</v>
      </c>
      <c r="X93" s="82">
        <v>1</v>
      </c>
      <c r="Y93" s="60"/>
      <c r="Z93" s="82"/>
      <c r="AA93" s="60"/>
      <c r="AB93" s="82"/>
      <c r="AC93" s="60"/>
      <c r="AD93" s="82"/>
      <c r="AE93" s="60"/>
      <c r="AF93" s="82"/>
      <c r="AG93" s="60"/>
      <c r="AH93" s="82"/>
      <c r="AI93" s="60"/>
      <c r="AJ93" s="82"/>
      <c r="AK93" s="60"/>
      <c r="AL93" s="82"/>
      <c r="AM93" s="60"/>
      <c r="AN93" s="82"/>
    </row>
    <row r="94" spans="1:47" ht="195" x14ac:dyDescent="0.25">
      <c r="A94" s="60"/>
      <c r="B94" s="82"/>
      <c r="C94" s="60" t="s">
        <v>493</v>
      </c>
      <c r="D94" s="82">
        <v>1</v>
      </c>
      <c r="E94" s="60" t="s">
        <v>1098</v>
      </c>
      <c r="F94" s="82">
        <v>1</v>
      </c>
      <c r="G94" s="60"/>
      <c r="H94" s="82"/>
      <c r="I94" s="60"/>
      <c r="J94" s="82"/>
      <c r="K94" s="60" t="s">
        <v>109</v>
      </c>
      <c r="L94" s="82">
        <v>1</v>
      </c>
      <c r="M94" s="60" t="s">
        <v>566</v>
      </c>
      <c r="N94" s="82">
        <v>1</v>
      </c>
      <c r="O94" s="61" t="s">
        <v>586</v>
      </c>
      <c r="P94" s="82">
        <v>1</v>
      </c>
      <c r="Q94" s="61" t="s">
        <v>787</v>
      </c>
      <c r="R94" s="82">
        <v>1</v>
      </c>
      <c r="S94" s="60" t="s">
        <v>238</v>
      </c>
      <c r="T94" s="82">
        <v>1</v>
      </c>
      <c r="U94" s="60" t="s">
        <v>1101</v>
      </c>
      <c r="V94" s="82">
        <v>1</v>
      </c>
      <c r="W94" s="60" t="s">
        <v>331</v>
      </c>
      <c r="X94" s="82">
        <v>1</v>
      </c>
      <c r="Y94" s="60"/>
      <c r="Z94" s="82"/>
      <c r="AA94" s="60"/>
      <c r="AB94" s="82"/>
      <c r="AC94" s="60"/>
      <c r="AD94" s="82"/>
      <c r="AE94" s="60"/>
      <c r="AF94" s="82"/>
      <c r="AG94" s="60"/>
      <c r="AH94" s="82"/>
      <c r="AI94" s="60"/>
      <c r="AJ94" s="82"/>
      <c r="AK94" s="60"/>
      <c r="AL94" s="82"/>
      <c r="AM94" s="60"/>
      <c r="AN94" s="82"/>
    </row>
    <row r="95" spans="1:47" ht="120" x14ac:dyDescent="0.25">
      <c r="A95" s="60"/>
      <c r="B95" s="82"/>
      <c r="C95" s="60" t="s">
        <v>566</v>
      </c>
      <c r="D95" s="82">
        <v>2</v>
      </c>
      <c r="E95" s="60" t="s">
        <v>759</v>
      </c>
      <c r="F95" s="82">
        <v>1</v>
      </c>
      <c r="G95" s="60"/>
      <c r="H95" s="82"/>
      <c r="I95" s="60"/>
      <c r="J95" s="82"/>
      <c r="K95" s="60" t="s">
        <v>489</v>
      </c>
      <c r="L95" s="82">
        <v>1</v>
      </c>
      <c r="M95" s="61" t="s">
        <v>586</v>
      </c>
      <c r="N95" s="82">
        <v>1</v>
      </c>
      <c r="O95" s="60" t="s">
        <v>631</v>
      </c>
      <c r="P95" s="82">
        <v>1</v>
      </c>
      <c r="Q95" s="61" t="s">
        <v>793</v>
      </c>
      <c r="R95" s="82">
        <v>1</v>
      </c>
      <c r="S95" s="60" t="s">
        <v>330</v>
      </c>
      <c r="T95" s="82">
        <v>1</v>
      </c>
      <c r="U95" s="60" t="s">
        <v>1102</v>
      </c>
      <c r="V95" s="82">
        <v>1</v>
      </c>
      <c r="W95" s="60" t="s">
        <v>587</v>
      </c>
      <c r="X95" s="82">
        <v>1</v>
      </c>
      <c r="Y95" s="60"/>
      <c r="Z95" s="82"/>
      <c r="AA95" s="60"/>
      <c r="AB95" s="82"/>
      <c r="AC95" s="60"/>
      <c r="AD95" s="82"/>
      <c r="AE95" s="60"/>
      <c r="AF95" s="82"/>
      <c r="AG95" s="60"/>
      <c r="AH95" s="82"/>
      <c r="AI95" s="60"/>
      <c r="AJ95" s="82"/>
      <c r="AK95" s="60"/>
      <c r="AL95" s="82"/>
      <c r="AM95" s="60"/>
      <c r="AN95" s="82"/>
    </row>
    <row r="96" spans="1:47" ht="90" x14ac:dyDescent="0.25">
      <c r="A96" s="60"/>
      <c r="B96" s="82"/>
      <c r="C96" s="60" t="s">
        <v>1063</v>
      </c>
      <c r="D96" s="82">
        <v>1</v>
      </c>
      <c r="E96" s="60" t="s">
        <v>776</v>
      </c>
      <c r="F96" s="82">
        <v>1</v>
      </c>
      <c r="G96" s="60"/>
      <c r="H96" s="82"/>
      <c r="I96" s="60"/>
      <c r="J96" s="82"/>
      <c r="K96" s="60" t="s">
        <v>491</v>
      </c>
      <c r="L96" s="82">
        <v>1</v>
      </c>
      <c r="M96" s="60" t="s">
        <v>630</v>
      </c>
      <c r="N96" s="82">
        <v>1</v>
      </c>
      <c r="O96" s="61" t="s">
        <v>777</v>
      </c>
      <c r="P96" s="82">
        <v>1</v>
      </c>
      <c r="Q96" s="60" t="s">
        <v>846</v>
      </c>
      <c r="R96" s="82">
        <v>1</v>
      </c>
      <c r="S96" s="60" t="s">
        <v>563</v>
      </c>
      <c r="T96" s="82">
        <v>1</v>
      </c>
      <c r="U96" s="60" t="s">
        <v>521</v>
      </c>
      <c r="V96" s="82">
        <v>1</v>
      </c>
      <c r="W96" s="60" t="s">
        <v>1101</v>
      </c>
      <c r="X96" s="82">
        <v>1</v>
      </c>
      <c r="Y96" s="60"/>
      <c r="Z96" s="82"/>
      <c r="AA96" s="60"/>
      <c r="AB96" s="82"/>
      <c r="AC96" s="60"/>
      <c r="AD96" s="82"/>
      <c r="AE96" s="60"/>
      <c r="AF96" s="82"/>
      <c r="AG96" s="60"/>
      <c r="AH96" s="82"/>
      <c r="AI96" s="60"/>
      <c r="AJ96" s="82"/>
      <c r="AK96" s="60"/>
      <c r="AL96" s="82"/>
      <c r="AM96" s="60"/>
      <c r="AN96" s="82"/>
    </row>
    <row r="97" spans="1:43" ht="75" x14ac:dyDescent="0.25">
      <c r="A97" s="60"/>
      <c r="B97" s="82"/>
      <c r="C97" s="60" t="s">
        <v>1096</v>
      </c>
      <c r="D97" s="82">
        <v>1</v>
      </c>
      <c r="E97" s="60"/>
      <c r="F97" s="82"/>
      <c r="G97" s="60"/>
      <c r="H97" s="82"/>
      <c r="I97" s="60"/>
      <c r="J97" s="82"/>
      <c r="K97" s="60" t="s">
        <v>547</v>
      </c>
      <c r="L97" s="82">
        <v>1</v>
      </c>
      <c r="M97" s="60" t="s">
        <v>760</v>
      </c>
      <c r="N97" s="82">
        <v>1</v>
      </c>
      <c r="O97" s="61" t="s">
        <v>787</v>
      </c>
      <c r="P97" s="82">
        <v>1</v>
      </c>
      <c r="Q97" s="61" t="s">
        <v>867</v>
      </c>
      <c r="R97" s="82">
        <v>1</v>
      </c>
      <c r="S97" s="60" t="s">
        <v>576</v>
      </c>
      <c r="T97" s="82">
        <v>4</v>
      </c>
      <c r="U97" s="61" t="s">
        <v>787</v>
      </c>
      <c r="V97" s="82">
        <v>1</v>
      </c>
      <c r="W97" s="60" t="s">
        <v>1102</v>
      </c>
      <c r="X97" s="82">
        <v>1</v>
      </c>
      <c r="Y97" s="60"/>
      <c r="Z97" s="82"/>
      <c r="AA97" s="60"/>
      <c r="AB97" s="82"/>
      <c r="AC97" s="60"/>
      <c r="AD97" s="82"/>
      <c r="AE97" s="60"/>
      <c r="AF97" s="82"/>
      <c r="AG97" s="60"/>
      <c r="AH97" s="82"/>
      <c r="AI97" s="60"/>
      <c r="AJ97" s="82"/>
      <c r="AK97" s="60"/>
      <c r="AL97" s="82"/>
      <c r="AM97" s="60"/>
      <c r="AN97" s="82"/>
    </row>
    <row r="98" spans="1:43" ht="75" x14ac:dyDescent="0.25">
      <c r="A98" s="60"/>
      <c r="B98" s="82"/>
      <c r="C98" s="60" t="s">
        <v>759</v>
      </c>
      <c r="D98" s="82">
        <v>1</v>
      </c>
      <c r="E98" s="60"/>
      <c r="F98" s="82"/>
      <c r="G98" s="60"/>
      <c r="H98" s="82"/>
      <c r="I98" s="60"/>
      <c r="J98" s="82"/>
      <c r="K98" s="60" t="s">
        <v>566</v>
      </c>
      <c r="L98" s="82">
        <v>1</v>
      </c>
      <c r="M98" s="61" t="s">
        <v>777</v>
      </c>
      <c r="N98" s="82">
        <v>1</v>
      </c>
      <c r="O98" s="61" t="s">
        <v>793</v>
      </c>
      <c r="P98" s="82">
        <v>1</v>
      </c>
      <c r="Q98" s="60"/>
      <c r="R98" s="82"/>
      <c r="S98" s="61" t="s">
        <v>787</v>
      </c>
      <c r="T98" s="82">
        <v>1</v>
      </c>
      <c r="U98" s="60" t="s">
        <v>848</v>
      </c>
      <c r="V98" s="82">
        <v>1</v>
      </c>
      <c r="W98" s="60" t="s">
        <v>763</v>
      </c>
      <c r="X98" s="82">
        <v>1</v>
      </c>
      <c r="Y98" s="60"/>
      <c r="Z98" s="82"/>
      <c r="AA98" s="60"/>
      <c r="AB98" s="82"/>
      <c r="AC98" s="60"/>
      <c r="AD98" s="82"/>
      <c r="AE98" s="60"/>
      <c r="AF98" s="82"/>
      <c r="AG98" s="60"/>
      <c r="AH98" s="82"/>
      <c r="AI98" s="60"/>
      <c r="AJ98" s="82"/>
      <c r="AK98" s="60"/>
      <c r="AL98" s="82"/>
      <c r="AM98" s="60"/>
      <c r="AN98" s="82"/>
    </row>
    <row r="99" spans="1:43" ht="105" x14ac:dyDescent="0.25">
      <c r="B99" s="82"/>
      <c r="C99" s="61" t="s">
        <v>799</v>
      </c>
      <c r="D99" s="82">
        <v>1</v>
      </c>
      <c r="F99" s="82"/>
      <c r="H99" s="82"/>
      <c r="J99" s="82"/>
      <c r="K99" s="61" t="s">
        <v>586</v>
      </c>
      <c r="L99" s="82">
        <v>1</v>
      </c>
      <c r="M99" s="61" t="s">
        <v>787</v>
      </c>
      <c r="N99" s="82">
        <v>1</v>
      </c>
      <c r="O99" s="61" t="s">
        <v>845</v>
      </c>
      <c r="P99" s="82">
        <v>1</v>
      </c>
      <c r="R99" s="82"/>
      <c r="S99" s="61" t="s">
        <v>800</v>
      </c>
      <c r="T99" s="82">
        <v>1</v>
      </c>
      <c r="V99" s="82"/>
      <c r="W99" s="61" t="s">
        <v>1109</v>
      </c>
      <c r="X99" s="82">
        <v>2</v>
      </c>
      <c r="Z99" s="82"/>
      <c r="AB99" s="82"/>
      <c r="AD99" s="82"/>
      <c r="AF99" s="82"/>
      <c r="AH99" s="82"/>
      <c r="AJ99" s="82"/>
      <c r="AL99" s="82"/>
      <c r="AN99" s="82"/>
    </row>
    <row r="100" spans="1:43" ht="75" x14ac:dyDescent="0.25">
      <c r="B100" s="82"/>
      <c r="C100" s="61" t="s">
        <v>841</v>
      </c>
      <c r="D100" s="82">
        <v>1</v>
      </c>
      <c r="F100" s="82"/>
      <c r="H100" s="82"/>
      <c r="J100" s="82"/>
      <c r="K100" s="61" t="s">
        <v>630</v>
      </c>
      <c r="L100" s="82">
        <v>2</v>
      </c>
      <c r="M100" s="61" t="s">
        <v>793</v>
      </c>
      <c r="N100" s="82">
        <v>1</v>
      </c>
      <c r="O100" s="61" t="s">
        <v>867</v>
      </c>
      <c r="P100" s="82">
        <v>1</v>
      </c>
      <c r="R100" s="82"/>
      <c r="S100" s="61" t="s">
        <v>847</v>
      </c>
      <c r="T100" s="82">
        <v>1</v>
      </c>
      <c r="V100" s="82"/>
      <c r="W100" s="61" t="s">
        <v>1110</v>
      </c>
      <c r="X100" s="82">
        <v>1</v>
      </c>
      <c r="Z100" s="82"/>
      <c r="AB100" s="82"/>
      <c r="AD100" s="82"/>
      <c r="AF100" s="82"/>
      <c r="AH100" s="82"/>
      <c r="AJ100" s="82"/>
      <c r="AL100" s="82"/>
      <c r="AN100" s="82"/>
    </row>
    <row r="101" spans="1:43" ht="45" x14ac:dyDescent="0.25">
      <c r="B101" s="82"/>
      <c r="D101" s="82"/>
      <c r="F101" s="82"/>
      <c r="H101" s="82"/>
      <c r="J101" s="82"/>
      <c r="K101" s="61" t="s">
        <v>777</v>
      </c>
      <c r="L101" s="82">
        <v>1</v>
      </c>
      <c r="M101" s="61" t="s">
        <v>844</v>
      </c>
      <c r="N101" s="82">
        <v>1</v>
      </c>
      <c r="P101" s="82"/>
      <c r="R101" s="82"/>
      <c r="T101" s="82"/>
      <c r="V101" s="82"/>
      <c r="W101" s="61" t="s">
        <v>521</v>
      </c>
      <c r="X101" s="82">
        <v>1</v>
      </c>
      <c r="Z101" s="82"/>
      <c r="AB101" s="82"/>
      <c r="AD101" s="82"/>
      <c r="AF101" s="82"/>
      <c r="AH101" s="82"/>
      <c r="AJ101" s="82"/>
      <c r="AL101" s="82"/>
      <c r="AN101" s="82"/>
    </row>
    <row r="102" spans="1:43" ht="75" x14ac:dyDescent="0.25">
      <c r="B102" s="82"/>
      <c r="D102" s="82"/>
      <c r="F102" s="82"/>
      <c r="H102" s="82"/>
      <c r="J102" s="82"/>
      <c r="K102" s="61" t="s">
        <v>787</v>
      </c>
      <c r="L102" s="82">
        <v>1</v>
      </c>
      <c r="M102" s="61" t="s">
        <v>867</v>
      </c>
      <c r="N102" s="82">
        <v>1</v>
      </c>
      <c r="P102" s="82"/>
      <c r="R102" s="82"/>
      <c r="T102" s="82"/>
      <c r="V102" s="82"/>
      <c r="W102" s="61" t="s">
        <v>787</v>
      </c>
      <c r="X102" s="82">
        <v>1</v>
      </c>
      <c r="Z102" s="82"/>
      <c r="AB102" s="82"/>
      <c r="AD102" s="82"/>
      <c r="AF102" s="82"/>
      <c r="AH102" s="82"/>
      <c r="AJ102" s="82"/>
      <c r="AL102" s="82"/>
      <c r="AN102" s="82"/>
    </row>
    <row r="103" spans="1:43" ht="60" x14ac:dyDescent="0.25">
      <c r="B103" s="82"/>
      <c r="D103" s="82"/>
      <c r="F103" s="82"/>
      <c r="H103" s="82"/>
      <c r="J103" s="82"/>
      <c r="K103" s="61" t="s">
        <v>793</v>
      </c>
      <c r="L103" s="82">
        <v>1</v>
      </c>
      <c r="M103" s="61" t="s">
        <v>1129</v>
      </c>
      <c r="N103" s="82">
        <v>1</v>
      </c>
      <c r="P103" s="82"/>
      <c r="R103" s="82"/>
      <c r="T103" s="82"/>
      <c r="V103" s="82"/>
      <c r="W103" s="61" t="s">
        <v>529</v>
      </c>
      <c r="X103" s="82">
        <v>1</v>
      </c>
      <c r="Z103" s="82"/>
      <c r="AB103" s="82"/>
      <c r="AD103" s="82"/>
      <c r="AF103" s="82"/>
      <c r="AH103" s="82"/>
      <c r="AJ103" s="82"/>
      <c r="AL103" s="82"/>
      <c r="AN103" s="82"/>
    </row>
    <row r="104" spans="1:43" ht="75" x14ac:dyDescent="0.25">
      <c r="B104" s="82"/>
      <c r="D104" s="82"/>
      <c r="F104" s="82"/>
      <c r="H104" s="82"/>
      <c r="J104" s="82"/>
      <c r="K104" s="61" t="s">
        <v>867</v>
      </c>
      <c r="L104" s="82">
        <v>1</v>
      </c>
      <c r="N104" s="82"/>
      <c r="P104" s="82"/>
      <c r="R104" s="82"/>
      <c r="T104" s="82"/>
      <c r="V104" s="82"/>
      <c r="W104" s="61" t="s">
        <v>849</v>
      </c>
      <c r="X104" s="82">
        <v>1</v>
      </c>
      <c r="Z104" s="82"/>
      <c r="AB104" s="82"/>
      <c r="AD104" s="82"/>
      <c r="AF104" s="82"/>
      <c r="AH104" s="82"/>
      <c r="AJ104" s="82"/>
      <c r="AL104" s="82"/>
      <c r="AN104" s="82"/>
    </row>
    <row r="105" spans="1:43" x14ac:dyDescent="0.25">
      <c r="B105" s="82"/>
      <c r="D105" s="82"/>
      <c r="F105" s="82"/>
      <c r="H105" s="82"/>
      <c r="J105" s="82"/>
      <c r="L105" s="82"/>
      <c r="N105" s="82"/>
      <c r="P105" s="82"/>
      <c r="R105" s="82"/>
      <c r="T105" s="82"/>
      <c r="V105" s="82"/>
      <c r="X105" s="82"/>
      <c r="Z105" s="82"/>
      <c r="AB105" s="82"/>
      <c r="AD105" s="82"/>
      <c r="AF105" s="82"/>
      <c r="AH105" s="82"/>
      <c r="AJ105" s="82"/>
      <c r="AL105" s="82"/>
      <c r="AN105" s="82"/>
    </row>
    <row r="106" spans="1:43" x14ac:dyDescent="0.25">
      <c r="B106" s="82"/>
      <c r="D106" s="82"/>
      <c r="F106" s="82"/>
      <c r="H106" s="82"/>
      <c r="J106" s="82"/>
      <c r="L106" s="82"/>
      <c r="N106" s="82"/>
      <c r="P106" s="82"/>
      <c r="R106" s="82"/>
      <c r="T106" s="82"/>
      <c r="V106" s="82"/>
      <c r="X106" s="82"/>
      <c r="Z106" s="82"/>
      <c r="AB106" s="82"/>
      <c r="AD106" s="82"/>
      <c r="AF106" s="82"/>
      <c r="AH106" s="82"/>
      <c r="AJ106" s="82"/>
      <c r="AL106" s="82"/>
      <c r="AN106" s="82"/>
    </row>
    <row r="107" spans="1:43" x14ac:dyDescent="0.25">
      <c r="B107" s="82"/>
      <c r="D107" s="82"/>
      <c r="F107" s="82"/>
      <c r="H107" s="82"/>
      <c r="J107" s="82"/>
      <c r="L107" s="82"/>
      <c r="N107" s="82"/>
      <c r="P107" s="82"/>
      <c r="R107" s="82"/>
      <c r="T107" s="82"/>
      <c r="V107" s="82"/>
      <c r="X107" s="82"/>
      <c r="Z107" s="82"/>
      <c r="AB107" s="82"/>
      <c r="AD107" s="82"/>
      <c r="AF107" s="82"/>
      <c r="AH107" s="82"/>
      <c r="AJ107" s="82"/>
      <c r="AL107" s="82"/>
      <c r="AN107" s="82"/>
    </row>
    <row r="108" spans="1:43" x14ac:dyDescent="0.25">
      <c r="A108" s="63"/>
      <c r="B108" s="83"/>
      <c r="C108" s="63"/>
      <c r="D108" s="83"/>
      <c r="E108" s="63"/>
      <c r="F108" s="83"/>
      <c r="G108" s="63"/>
      <c r="H108" s="83"/>
      <c r="I108" s="63"/>
      <c r="J108" s="83"/>
      <c r="K108" s="63"/>
      <c r="L108" s="83"/>
      <c r="M108" s="63"/>
      <c r="N108" s="83"/>
      <c r="O108" s="63"/>
      <c r="P108" s="83"/>
      <c r="Q108" s="63"/>
      <c r="R108" s="83"/>
      <c r="S108" s="63"/>
      <c r="T108" s="83"/>
      <c r="U108" s="63"/>
      <c r="V108" s="83"/>
      <c r="W108" s="63"/>
      <c r="X108" s="83"/>
      <c r="Y108" s="63"/>
      <c r="Z108" s="83"/>
      <c r="AA108" s="63"/>
      <c r="AB108" s="83"/>
      <c r="AC108" s="63"/>
      <c r="AD108" s="83"/>
      <c r="AE108" s="63"/>
      <c r="AF108" s="83"/>
      <c r="AG108" s="63"/>
      <c r="AH108" s="83"/>
      <c r="AI108" s="63"/>
      <c r="AJ108" s="83"/>
      <c r="AK108" s="63"/>
      <c r="AL108" s="83"/>
      <c r="AM108" s="63"/>
      <c r="AN108" s="83"/>
    </row>
    <row r="109" spans="1:43" x14ac:dyDescent="0.25">
      <c r="A109" s="134"/>
      <c r="B109" s="134"/>
      <c r="C109" s="134"/>
      <c r="D109" s="134"/>
      <c r="E109" s="134"/>
      <c r="F109" s="134"/>
      <c r="G109" s="134"/>
      <c r="H109" s="134"/>
      <c r="I109" s="134"/>
      <c r="J109" s="134"/>
      <c r="K109" s="134"/>
      <c r="L109" s="134"/>
      <c r="M109" s="134"/>
      <c r="N109" s="134"/>
      <c r="O109" s="134"/>
      <c r="P109" s="134"/>
      <c r="Q109" s="134"/>
      <c r="R109" s="134"/>
      <c r="S109" s="134"/>
      <c r="T109" s="134"/>
      <c r="U109" s="134"/>
      <c r="V109" s="134"/>
      <c r="W109" s="134"/>
      <c r="X109" s="134"/>
      <c r="Y109" s="134"/>
      <c r="Z109" s="134"/>
      <c r="AA109" s="134"/>
      <c r="AB109" s="134"/>
      <c r="AC109" s="134"/>
      <c r="AD109" s="134"/>
      <c r="AE109" s="134"/>
      <c r="AF109" s="134"/>
      <c r="AG109" s="134"/>
      <c r="AH109" s="134"/>
      <c r="AI109" s="134"/>
      <c r="AJ109" s="134"/>
      <c r="AK109" s="134"/>
      <c r="AL109" s="134"/>
      <c r="AM109" s="134"/>
      <c r="AN109" s="134"/>
      <c r="AO109" s="60"/>
      <c r="AP109" s="60"/>
      <c r="AQ109" s="60"/>
    </row>
    <row r="110" spans="1:43" x14ac:dyDescent="0.25">
      <c r="A110" s="60"/>
      <c r="B110" s="60"/>
      <c r="C110" s="60"/>
      <c r="D110" s="60"/>
      <c r="E110" s="60"/>
      <c r="F110" s="60"/>
      <c r="G110" s="60"/>
      <c r="H110" s="60"/>
      <c r="I110" s="60"/>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row>
    <row r="111" spans="1:43" x14ac:dyDescent="0.25">
      <c r="A111" s="60"/>
      <c r="B111" s="60"/>
      <c r="C111" s="60"/>
      <c r="D111" s="60"/>
      <c r="E111" s="60"/>
      <c r="F111" s="60"/>
      <c r="G111" s="60"/>
      <c r="H111" s="60"/>
      <c r="I111" s="60"/>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row>
    <row r="112" spans="1:43" x14ac:dyDescent="0.25">
      <c r="A112" s="60"/>
      <c r="B112" s="60"/>
      <c r="C112" s="60"/>
      <c r="D112" s="60"/>
      <c r="E112" s="60"/>
      <c r="F112" s="60"/>
      <c r="G112" s="60"/>
      <c r="H112" s="60"/>
      <c r="I112" s="60"/>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row>
    <row r="113" spans="1:42" x14ac:dyDescent="0.25">
      <c r="A113" s="60"/>
      <c r="B113" s="60"/>
      <c r="C113" s="60"/>
      <c r="D113" s="60"/>
      <c r="E113" s="60"/>
      <c r="F113" s="60"/>
      <c r="G113" s="60"/>
      <c r="H113" s="60"/>
      <c r="I113" s="60"/>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row>
    <row r="114" spans="1:42" x14ac:dyDescent="0.25">
      <c r="A114" s="60"/>
      <c r="B114" s="60"/>
      <c r="C114" s="60"/>
      <c r="D114" s="60"/>
      <c r="E114" s="60"/>
      <c r="F114" s="60"/>
      <c r="G114" s="60"/>
      <c r="H114" s="60"/>
      <c r="I114" s="60"/>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row>
    <row r="115" spans="1:42" x14ac:dyDescent="0.25">
      <c r="A115" s="60"/>
      <c r="B115" s="60"/>
      <c r="C115" s="60"/>
      <c r="D115" s="60"/>
      <c r="E115" s="60"/>
      <c r="F115" s="60"/>
      <c r="G115" s="60"/>
      <c r="H115" s="60"/>
      <c r="I115" s="60"/>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row>
    <row r="116" spans="1:42" x14ac:dyDescent="0.25">
      <c r="A116" s="60"/>
      <c r="B116" s="60"/>
      <c r="C116" s="60"/>
      <c r="D116" s="60"/>
      <c r="E116" s="60"/>
      <c r="F116" s="60"/>
      <c r="G116" s="60"/>
      <c r="H116" s="60"/>
      <c r="I116" s="60"/>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row>
    <row r="117" spans="1:42" x14ac:dyDescent="0.25">
      <c r="A117" s="60"/>
      <c r="B117" s="60"/>
      <c r="C117" s="60"/>
      <c r="D117" s="60"/>
      <c r="E117" s="60"/>
      <c r="F117" s="60"/>
      <c r="G117" s="60"/>
      <c r="H117" s="60"/>
      <c r="I117" s="60"/>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row>
    <row r="118" spans="1:42" x14ac:dyDescent="0.25">
      <c r="A118" s="60"/>
      <c r="B118" s="60"/>
      <c r="C118" s="60"/>
      <c r="D118" s="60"/>
      <c r="E118" s="60"/>
      <c r="F118" s="60"/>
      <c r="G118" s="60"/>
      <c r="H118" s="60"/>
      <c r="I118" s="60"/>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row>
    <row r="119" spans="1:42" x14ac:dyDescent="0.25">
      <c r="A119" s="60"/>
      <c r="B119" s="60"/>
      <c r="C119" s="60"/>
      <c r="D119" s="60"/>
      <c r="E119" s="60"/>
      <c r="F119" s="60"/>
      <c r="G119" s="60"/>
      <c r="H119" s="60"/>
      <c r="I119" s="60"/>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row>
    <row r="120" spans="1:42" x14ac:dyDescent="0.25">
      <c r="A120" s="60"/>
      <c r="B120" s="60"/>
      <c r="C120" s="60"/>
      <c r="D120" s="60"/>
      <c r="E120" s="60"/>
      <c r="F120" s="60"/>
      <c r="G120" s="60"/>
      <c r="H120" s="60"/>
      <c r="I120" s="60"/>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row>
    <row r="121" spans="1:42" x14ac:dyDescent="0.25">
      <c r="A121" s="60"/>
      <c r="B121" s="60"/>
      <c r="C121" s="60"/>
      <c r="D121" s="60"/>
      <c r="E121" s="60"/>
      <c r="F121" s="60"/>
      <c r="G121" s="60"/>
      <c r="H121" s="60"/>
      <c r="I121" s="60"/>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row>
    <row r="122" spans="1:42" x14ac:dyDescent="0.25">
      <c r="A122" s="60"/>
      <c r="B122" s="60"/>
      <c r="C122" s="60"/>
      <c r="D122" s="60"/>
      <c r="E122" s="60"/>
      <c r="F122" s="60"/>
      <c r="G122" s="60"/>
      <c r="H122" s="60"/>
      <c r="I122" s="60"/>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row>
    <row r="123" spans="1:42" x14ac:dyDescent="0.25">
      <c r="A123" s="60"/>
      <c r="B123" s="60"/>
      <c r="C123" s="60"/>
      <c r="D123" s="60"/>
      <c r="E123" s="60"/>
      <c r="F123" s="60"/>
      <c r="G123" s="60"/>
      <c r="H123" s="60"/>
      <c r="I123" s="60"/>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row>
    <row r="124" spans="1:42" x14ac:dyDescent="0.25">
      <c r="A124" s="60"/>
      <c r="B124" s="60"/>
      <c r="C124" s="60"/>
      <c r="D124" s="60"/>
      <c r="E124" s="60"/>
      <c r="F124" s="60"/>
      <c r="G124" s="60"/>
      <c r="H124" s="60"/>
      <c r="I124" s="60"/>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row>
    <row r="125" spans="1:42" x14ac:dyDescent="0.25">
      <c r="A125" s="60"/>
      <c r="B125" s="60"/>
      <c r="C125" s="60"/>
      <c r="D125" s="60"/>
      <c r="E125" s="60"/>
      <c r="F125" s="60"/>
      <c r="G125" s="60"/>
      <c r="H125" s="60"/>
      <c r="I125" s="60"/>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row>
    <row r="126" spans="1:42" x14ac:dyDescent="0.25">
      <c r="A126" s="60"/>
      <c r="B126" s="60"/>
      <c r="C126" s="60"/>
      <c r="D126" s="60"/>
      <c r="E126" s="60"/>
      <c r="F126" s="60"/>
      <c r="G126" s="60"/>
      <c r="H126" s="60"/>
      <c r="I126" s="60"/>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row>
    <row r="127" spans="1:42" x14ac:dyDescent="0.25">
      <c r="A127" s="60"/>
      <c r="B127" s="60"/>
      <c r="C127" s="60"/>
      <c r="D127" s="60"/>
      <c r="E127" s="60"/>
      <c r="F127" s="60"/>
      <c r="G127" s="60"/>
      <c r="H127" s="60"/>
      <c r="I127" s="60"/>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row>
    <row r="128" spans="1:42" x14ac:dyDescent="0.25">
      <c r="A128" s="60"/>
      <c r="B128" s="60"/>
      <c r="C128" s="60"/>
      <c r="D128" s="60"/>
      <c r="E128" s="60"/>
      <c r="F128" s="60"/>
      <c r="G128" s="60"/>
      <c r="H128" s="60"/>
      <c r="I128" s="60"/>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row>
    <row r="129" spans="1:45" x14ac:dyDescent="0.25">
      <c r="A129" s="134"/>
      <c r="B129" s="134"/>
      <c r="C129" s="134"/>
      <c r="D129" s="134"/>
      <c r="E129" s="134"/>
      <c r="F129" s="134"/>
      <c r="G129" s="134"/>
      <c r="H129" s="134"/>
      <c r="I129" s="134"/>
      <c r="J129" s="134"/>
      <c r="K129" s="134"/>
      <c r="L129" s="134"/>
      <c r="M129" s="134"/>
      <c r="N129" s="134"/>
      <c r="O129" s="134"/>
      <c r="P129" s="134"/>
      <c r="Q129" s="134"/>
      <c r="R129" s="134"/>
      <c r="S129" s="134"/>
      <c r="T129" s="134"/>
      <c r="U129" s="134"/>
      <c r="V129" s="134"/>
      <c r="W129" s="134"/>
      <c r="X129" s="134"/>
      <c r="Y129" s="134"/>
      <c r="Z129" s="134"/>
      <c r="AA129" s="134"/>
      <c r="AB129" s="134"/>
      <c r="AC129" s="134"/>
      <c r="AD129" s="134"/>
      <c r="AE129" s="134"/>
      <c r="AF129" s="134"/>
      <c r="AG129" s="134"/>
      <c r="AH129" s="134"/>
      <c r="AI129" s="134"/>
      <c r="AJ129" s="134"/>
      <c r="AK129" s="134"/>
      <c r="AL129" s="134"/>
      <c r="AM129" s="134"/>
      <c r="AN129" s="134"/>
      <c r="AO129" s="60"/>
      <c r="AP129" s="60"/>
    </row>
    <row r="130" spans="1:45" x14ac:dyDescent="0.25">
      <c r="A130" s="60"/>
      <c r="B130" s="60"/>
      <c r="C130" s="60"/>
      <c r="D130" s="60"/>
      <c r="E130" s="60"/>
      <c r="F130" s="60"/>
      <c r="G130" s="60"/>
      <c r="H130" s="60"/>
      <c r="I130" s="60"/>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row>
    <row r="131" spans="1:45" x14ac:dyDescent="0.25">
      <c r="A131" s="60"/>
      <c r="B131" s="60"/>
      <c r="C131" s="60"/>
      <c r="D131" s="60"/>
      <c r="E131" s="60"/>
      <c r="F131" s="60"/>
      <c r="G131" s="60"/>
      <c r="H131" s="60"/>
      <c r="I131" s="60"/>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row>
    <row r="132" spans="1:45" x14ac:dyDescent="0.25">
      <c r="A132" s="60"/>
      <c r="B132" s="60"/>
      <c r="C132" s="60"/>
      <c r="D132" s="60"/>
      <c r="E132" s="60"/>
      <c r="F132" s="60"/>
      <c r="G132" s="60"/>
      <c r="H132" s="60"/>
      <c r="I132" s="60"/>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row>
    <row r="133" spans="1:45" x14ac:dyDescent="0.25">
      <c r="A133" s="60"/>
      <c r="B133" s="60"/>
      <c r="C133" s="60"/>
      <c r="D133" s="60"/>
      <c r="E133" s="60"/>
      <c r="F133" s="60"/>
      <c r="G133" s="60"/>
      <c r="H133" s="60"/>
      <c r="I133" s="60"/>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row>
    <row r="134" spans="1:45" x14ac:dyDescent="0.25">
      <c r="A134" s="60"/>
      <c r="B134" s="60"/>
      <c r="C134" s="60"/>
      <c r="D134" s="60"/>
      <c r="E134" s="60"/>
      <c r="F134" s="60"/>
      <c r="G134" s="60"/>
      <c r="H134" s="60"/>
      <c r="I134" s="60"/>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row>
    <row r="135" spans="1:45" x14ac:dyDescent="0.25">
      <c r="A135" s="60"/>
      <c r="B135" s="60"/>
      <c r="C135" s="60"/>
      <c r="D135" s="60"/>
      <c r="E135" s="60"/>
      <c r="F135" s="60"/>
      <c r="G135" s="60"/>
      <c r="H135" s="60"/>
      <c r="I135" s="60"/>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row>
    <row r="136" spans="1:45" x14ac:dyDescent="0.25">
      <c r="A136" s="60"/>
      <c r="B136" s="60"/>
      <c r="C136" s="60"/>
      <c r="D136" s="60"/>
      <c r="E136" s="60"/>
      <c r="F136" s="60"/>
      <c r="G136" s="60"/>
      <c r="H136" s="60"/>
      <c r="I136" s="60"/>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row>
    <row r="137" spans="1:45" x14ac:dyDescent="0.25">
      <c r="A137" s="60"/>
      <c r="B137" s="60"/>
      <c r="C137" s="60"/>
      <c r="D137" s="60"/>
      <c r="E137" s="60"/>
      <c r="F137" s="60"/>
      <c r="G137" s="60"/>
      <c r="H137" s="60"/>
      <c r="I137" s="60"/>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row>
    <row r="138" spans="1:45" x14ac:dyDescent="0.25">
      <c r="A138" s="60"/>
      <c r="B138" s="60"/>
      <c r="C138" s="60"/>
      <c r="D138" s="60"/>
      <c r="E138" s="60"/>
      <c r="F138" s="60"/>
      <c r="G138" s="60"/>
      <c r="H138" s="60"/>
      <c r="I138" s="60"/>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row>
    <row r="139" spans="1:45" x14ac:dyDescent="0.25">
      <c r="A139" s="60"/>
      <c r="B139" s="60"/>
      <c r="C139" s="60"/>
      <c r="D139" s="60"/>
      <c r="E139" s="60"/>
      <c r="F139" s="60"/>
      <c r="G139" s="60"/>
      <c r="H139" s="60"/>
      <c r="I139" s="60"/>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row>
    <row r="140" spans="1:45" x14ac:dyDescent="0.25">
      <c r="A140" s="60"/>
      <c r="B140" s="60"/>
      <c r="C140" s="60"/>
      <c r="D140" s="60"/>
      <c r="E140" s="60"/>
      <c r="F140" s="60"/>
      <c r="G140" s="60"/>
      <c r="H140" s="60"/>
      <c r="I140" s="60"/>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row>
    <row r="141" spans="1:45" x14ac:dyDescent="0.25">
      <c r="A141" s="60"/>
      <c r="B141" s="60"/>
      <c r="C141" s="60"/>
      <c r="D141" s="60"/>
      <c r="E141" s="60"/>
      <c r="F141" s="60"/>
      <c r="G141" s="60"/>
      <c r="H141" s="60"/>
      <c r="I141" s="60"/>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row>
    <row r="142" spans="1:45" x14ac:dyDescent="0.25">
      <c r="A142" s="60"/>
      <c r="B142" s="60"/>
      <c r="C142" s="60"/>
      <c r="D142" s="60"/>
      <c r="E142" s="60"/>
      <c r="F142" s="60"/>
      <c r="G142" s="60"/>
      <c r="H142" s="60"/>
      <c r="I142" s="60"/>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row>
    <row r="143" spans="1:45" x14ac:dyDescent="0.25">
      <c r="A143" s="60"/>
      <c r="B143" s="60"/>
      <c r="C143" s="60"/>
      <c r="D143" s="60"/>
      <c r="E143" s="60"/>
      <c r="F143" s="60"/>
      <c r="G143" s="60"/>
      <c r="H143" s="60"/>
      <c r="I143" s="60"/>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row>
    <row r="144" spans="1:45" x14ac:dyDescent="0.25">
      <c r="A144" s="60"/>
      <c r="B144" s="60"/>
      <c r="C144" s="60"/>
      <c r="D144" s="60"/>
      <c r="E144" s="60"/>
      <c r="F144" s="60"/>
      <c r="G144" s="60"/>
      <c r="H144" s="60"/>
      <c r="I144" s="60"/>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row>
    <row r="145" spans="1:45" x14ac:dyDescent="0.25">
      <c r="A145" s="60"/>
      <c r="B145" s="60"/>
      <c r="C145" s="60"/>
      <c r="D145" s="60"/>
      <c r="E145" s="60"/>
      <c r="F145" s="60"/>
      <c r="G145" s="60"/>
      <c r="H145" s="60"/>
      <c r="I145" s="60"/>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row>
    <row r="146" spans="1:45" x14ac:dyDescent="0.25">
      <c r="A146" s="60"/>
      <c r="B146" s="60"/>
      <c r="C146" s="60"/>
      <c r="D146" s="60"/>
      <c r="E146" s="60"/>
      <c r="F146" s="60"/>
      <c r="G146" s="60"/>
      <c r="H146" s="60"/>
      <c r="I146" s="60"/>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row>
    <row r="147" spans="1:45" x14ac:dyDescent="0.25">
      <c r="A147" s="134"/>
      <c r="B147" s="134"/>
      <c r="C147" s="134"/>
      <c r="D147" s="134"/>
      <c r="E147" s="134"/>
      <c r="F147" s="134"/>
      <c r="G147" s="134"/>
      <c r="H147" s="134"/>
      <c r="I147" s="134"/>
      <c r="J147" s="134"/>
      <c r="K147" s="134"/>
      <c r="L147" s="134"/>
      <c r="M147" s="134"/>
      <c r="N147" s="134"/>
      <c r="O147" s="134"/>
      <c r="P147" s="134"/>
      <c r="Q147" s="134"/>
      <c r="R147" s="134"/>
      <c r="S147" s="134"/>
      <c r="T147" s="134"/>
      <c r="U147" s="134"/>
      <c r="V147" s="134"/>
      <c r="W147" s="134"/>
      <c r="X147" s="134"/>
      <c r="Y147" s="134"/>
      <c r="Z147" s="134"/>
      <c r="AA147" s="134"/>
      <c r="AB147" s="134"/>
      <c r="AC147" s="134"/>
      <c r="AD147" s="134"/>
      <c r="AE147" s="134"/>
      <c r="AF147" s="134"/>
      <c r="AG147" s="134"/>
      <c r="AH147" s="134"/>
      <c r="AI147" s="134"/>
      <c r="AJ147" s="134"/>
      <c r="AK147" s="134"/>
      <c r="AL147" s="134"/>
      <c r="AM147" s="134"/>
      <c r="AN147" s="134"/>
      <c r="AO147" s="60"/>
      <c r="AP147" s="60"/>
      <c r="AQ147" s="60"/>
      <c r="AR147" s="60"/>
      <c r="AS147" s="60"/>
    </row>
    <row r="148" spans="1:45" x14ac:dyDescent="0.25">
      <c r="A148" s="60"/>
      <c r="B148" s="60"/>
      <c r="C148" s="60"/>
      <c r="D148" s="60"/>
      <c r="E148" s="60"/>
      <c r="F148" s="60"/>
      <c r="G148" s="60"/>
      <c r="H148" s="60"/>
      <c r="I148" s="60"/>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row>
    <row r="149" spans="1:45" x14ac:dyDescent="0.25">
      <c r="A149" s="60"/>
      <c r="B149" s="60"/>
      <c r="C149" s="60"/>
      <c r="D149" s="60"/>
      <c r="E149" s="60"/>
      <c r="F149" s="60"/>
      <c r="G149" s="60"/>
      <c r="H149" s="60"/>
      <c r="I149" s="60"/>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row>
    <row r="150" spans="1:45" x14ac:dyDescent="0.25">
      <c r="A150" s="60"/>
      <c r="B150" s="60"/>
      <c r="C150" s="60"/>
      <c r="D150" s="60"/>
      <c r="E150" s="60"/>
      <c r="F150" s="60"/>
      <c r="G150" s="60"/>
      <c r="H150" s="60"/>
      <c r="I150" s="60"/>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row>
    <row r="151" spans="1:45" x14ac:dyDescent="0.25">
      <c r="A151" s="60"/>
      <c r="B151" s="60"/>
      <c r="C151" s="60"/>
      <c r="D151" s="60"/>
      <c r="E151" s="60"/>
      <c r="F151" s="60"/>
      <c r="G151" s="60"/>
      <c r="H151" s="60"/>
      <c r="I151" s="60"/>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row>
    <row r="152" spans="1:45" x14ac:dyDescent="0.25">
      <c r="A152" s="60"/>
      <c r="B152" s="60"/>
      <c r="C152" s="60"/>
      <c r="D152" s="60"/>
      <c r="E152" s="60"/>
      <c r="F152" s="60"/>
      <c r="G152" s="60"/>
      <c r="H152" s="60"/>
      <c r="I152" s="60"/>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row>
    <row r="153" spans="1:45" x14ac:dyDescent="0.25">
      <c r="A153" s="60"/>
      <c r="B153" s="60"/>
      <c r="C153" s="60"/>
      <c r="D153" s="60"/>
      <c r="E153" s="60"/>
      <c r="F153" s="60"/>
      <c r="G153" s="60"/>
      <c r="H153" s="60"/>
      <c r="I153" s="60"/>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row>
    <row r="154" spans="1:45" x14ac:dyDescent="0.25">
      <c r="A154" s="60"/>
      <c r="B154" s="60"/>
      <c r="C154" s="60"/>
      <c r="D154" s="60"/>
      <c r="E154" s="60"/>
      <c r="F154" s="60"/>
      <c r="G154" s="60"/>
      <c r="H154" s="60"/>
      <c r="I154" s="60"/>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row>
    <row r="155" spans="1:45" x14ac:dyDescent="0.25">
      <c r="A155" s="60"/>
      <c r="B155" s="60"/>
      <c r="C155" s="60"/>
      <c r="D155" s="60"/>
      <c r="E155" s="60"/>
      <c r="F155" s="60"/>
      <c r="G155" s="60"/>
      <c r="H155" s="60"/>
      <c r="I155" s="60"/>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row>
    <row r="156" spans="1:45" x14ac:dyDescent="0.25">
      <c r="A156" s="60"/>
      <c r="B156" s="60"/>
      <c r="C156" s="60"/>
      <c r="D156" s="60"/>
      <c r="E156" s="60"/>
      <c r="F156" s="60"/>
      <c r="G156" s="60"/>
      <c r="H156" s="60"/>
      <c r="I156" s="60"/>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row>
    <row r="157" spans="1:45" x14ac:dyDescent="0.25">
      <c r="A157" s="60"/>
      <c r="B157" s="60"/>
      <c r="C157" s="60"/>
      <c r="D157" s="60"/>
      <c r="E157" s="60"/>
      <c r="F157" s="60"/>
      <c r="G157" s="60"/>
      <c r="H157" s="60"/>
      <c r="I157" s="60"/>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row>
    <row r="158" spans="1:45" x14ac:dyDescent="0.25">
      <c r="A158" s="60"/>
      <c r="B158" s="60"/>
      <c r="C158" s="60"/>
      <c r="D158" s="60"/>
      <c r="E158" s="60"/>
      <c r="F158" s="60"/>
      <c r="G158" s="60"/>
      <c r="H158" s="60"/>
      <c r="I158" s="60"/>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row>
    <row r="159" spans="1:45" x14ac:dyDescent="0.25">
      <c r="A159" s="60"/>
      <c r="B159" s="60"/>
      <c r="C159" s="60"/>
      <c r="D159" s="60"/>
      <c r="E159" s="60"/>
      <c r="F159" s="60"/>
      <c r="G159" s="60"/>
      <c r="H159" s="60"/>
      <c r="I159" s="60"/>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row>
    <row r="160" spans="1:45" x14ac:dyDescent="0.25">
      <c r="A160" s="60"/>
      <c r="B160" s="60"/>
      <c r="C160" s="60"/>
      <c r="D160" s="60"/>
      <c r="E160" s="60"/>
      <c r="F160" s="60"/>
      <c r="G160" s="60"/>
      <c r="H160" s="60"/>
      <c r="I160" s="60"/>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row>
    <row r="161" spans="1:45" x14ac:dyDescent="0.25">
      <c r="A161" s="60"/>
      <c r="B161" s="60"/>
      <c r="C161" s="60"/>
      <c r="D161" s="60"/>
      <c r="E161" s="60"/>
      <c r="F161" s="60"/>
      <c r="G161" s="60"/>
      <c r="H161" s="60"/>
      <c r="I161" s="60"/>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row>
    <row r="162" spans="1:45" x14ac:dyDescent="0.25">
      <c r="A162" s="60"/>
      <c r="B162" s="60"/>
      <c r="C162" s="60"/>
      <c r="D162" s="60"/>
      <c r="E162" s="60"/>
      <c r="F162" s="60"/>
      <c r="G162" s="60"/>
      <c r="H162" s="60"/>
      <c r="I162" s="60"/>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row>
    <row r="163" spans="1:45" x14ac:dyDescent="0.25">
      <c r="A163" s="60"/>
      <c r="B163" s="60"/>
      <c r="C163" s="60"/>
      <c r="D163" s="60"/>
      <c r="E163" s="60"/>
      <c r="F163" s="60"/>
      <c r="G163" s="60"/>
      <c r="H163" s="60"/>
      <c r="I163" s="60"/>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row>
    <row r="164" spans="1:45" x14ac:dyDescent="0.25">
      <c r="A164" s="60"/>
      <c r="B164" s="60"/>
      <c r="C164" s="60"/>
      <c r="D164" s="60"/>
      <c r="E164" s="60"/>
      <c r="F164" s="60"/>
      <c r="G164" s="60"/>
      <c r="H164" s="60"/>
      <c r="I164" s="60"/>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row>
    <row r="165" spans="1:45" x14ac:dyDescent="0.25">
      <c r="A165" s="60"/>
      <c r="B165" s="60"/>
      <c r="C165" s="60"/>
      <c r="D165" s="60"/>
      <c r="E165" s="60"/>
      <c r="F165" s="60"/>
      <c r="G165" s="60"/>
      <c r="H165" s="60"/>
      <c r="I165" s="60"/>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row>
    <row r="166" spans="1:45" x14ac:dyDescent="0.25">
      <c r="A166" s="60"/>
      <c r="B166" s="60"/>
      <c r="C166" s="60"/>
      <c r="D166" s="60"/>
      <c r="E166" s="60"/>
      <c r="F166" s="60"/>
      <c r="G166" s="60"/>
      <c r="H166" s="60"/>
      <c r="I166" s="60"/>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row>
    <row r="167" spans="1:45" x14ac:dyDescent="0.25">
      <c r="A167" s="60"/>
      <c r="B167" s="60"/>
      <c r="C167" s="60"/>
      <c r="D167" s="60"/>
      <c r="E167" s="60"/>
      <c r="F167" s="60"/>
      <c r="G167" s="60"/>
      <c r="H167" s="60"/>
      <c r="I167" s="60"/>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row>
    <row r="168" spans="1:45" x14ac:dyDescent="0.25">
      <c r="A168" s="60"/>
      <c r="B168" s="60"/>
      <c r="C168" s="60"/>
      <c r="D168" s="60"/>
      <c r="E168" s="60"/>
      <c r="F168" s="60"/>
      <c r="G168" s="60"/>
      <c r="H168" s="60"/>
      <c r="I168" s="60"/>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row>
    <row r="169" spans="1:45" x14ac:dyDescent="0.25">
      <c r="A169" s="60"/>
      <c r="B169" s="60"/>
      <c r="C169" s="60"/>
      <c r="D169" s="60"/>
      <c r="E169" s="60"/>
      <c r="F169" s="60"/>
      <c r="G169" s="60"/>
      <c r="H169" s="60"/>
      <c r="I169" s="60"/>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row>
    <row r="170" spans="1:45" x14ac:dyDescent="0.25">
      <c r="A170" s="60"/>
      <c r="B170" s="60"/>
      <c r="C170" s="60"/>
      <c r="D170" s="60"/>
      <c r="E170" s="60"/>
      <c r="F170" s="60"/>
      <c r="G170" s="60"/>
      <c r="H170" s="60"/>
      <c r="I170" s="60"/>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row>
    <row r="171" spans="1:45" x14ac:dyDescent="0.25">
      <c r="A171" s="60"/>
      <c r="B171" s="60"/>
      <c r="C171" s="60"/>
      <c r="D171" s="60"/>
      <c r="E171" s="60"/>
      <c r="F171" s="60"/>
      <c r="G171" s="60"/>
      <c r="H171" s="60"/>
      <c r="I171" s="60"/>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row>
    <row r="172" spans="1:45" x14ac:dyDescent="0.25">
      <c r="A172" s="60"/>
      <c r="B172" s="60"/>
      <c r="C172" s="60"/>
      <c r="D172" s="60"/>
      <c r="E172" s="60"/>
      <c r="F172" s="60"/>
      <c r="G172" s="60"/>
      <c r="H172" s="60"/>
      <c r="I172" s="60"/>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row>
    <row r="173" spans="1:45" x14ac:dyDescent="0.25">
      <c r="A173" s="60"/>
      <c r="B173" s="60"/>
      <c r="C173" s="60"/>
      <c r="D173" s="60"/>
      <c r="E173" s="60"/>
      <c r="F173" s="60"/>
      <c r="G173" s="60"/>
      <c r="H173" s="60"/>
      <c r="I173" s="60"/>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row>
    <row r="174" spans="1:45" x14ac:dyDescent="0.25">
      <c r="A174" s="60"/>
      <c r="B174" s="60"/>
      <c r="C174" s="60"/>
      <c r="D174" s="60"/>
      <c r="E174" s="60"/>
      <c r="F174" s="60"/>
      <c r="G174" s="60"/>
      <c r="H174" s="60"/>
      <c r="I174" s="60"/>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row>
    <row r="175" spans="1:45" x14ac:dyDescent="0.25">
      <c r="A175" s="60"/>
      <c r="B175" s="60"/>
      <c r="C175" s="60"/>
      <c r="D175" s="60"/>
      <c r="E175" s="60"/>
      <c r="F175" s="60"/>
      <c r="G175" s="60"/>
      <c r="H175" s="60"/>
      <c r="I175" s="60"/>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row>
  </sheetData>
  <mergeCells count="144">
    <mergeCell ref="A1:J2"/>
    <mergeCell ref="BC4:BD4"/>
    <mergeCell ref="BE4:BF4"/>
    <mergeCell ref="AK4:AL4"/>
    <mergeCell ref="AM4:AN4"/>
    <mergeCell ref="Y4:Z4"/>
    <mergeCell ref="AA4:AB4"/>
    <mergeCell ref="AC4:AD4"/>
    <mergeCell ref="AE4:AF4"/>
    <mergeCell ref="AG4:AH4"/>
    <mergeCell ref="AI4:AJ4"/>
    <mergeCell ref="A31:B31"/>
    <mergeCell ref="C31:D31"/>
    <mergeCell ref="E31:F31"/>
    <mergeCell ref="G31:H31"/>
    <mergeCell ref="I31:J31"/>
    <mergeCell ref="K31:L31"/>
    <mergeCell ref="M31:N31"/>
    <mergeCell ref="O31:P31"/>
    <mergeCell ref="BA4:BB4"/>
    <mergeCell ref="M4:N4"/>
    <mergeCell ref="O4:P4"/>
    <mergeCell ref="Q4:R4"/>
    <mergeCell ref="S4:T4"/>
    <mergeCell ref="U4:V4"/>
    <mergeCell ref="W4:X4"/>
    <mergeCell ref="A4:B4"/>
    <mergeCell ref="C4:D4"/>
    <mergeCell ref="E4:F4"/>
    <mergeCell ref="G4:H4"/>
    <mergeCell ref="I4:J4"/>
    <mergeCell ref="K4:L4"/>
    <mergeCell ref="AC31:AD31"/>
    <mergeCell ref="AE31:AF31"/>
    <mergeCell ref="AG31:AH31"/>
    <mergeCell ref="AI31:AJ31"/>
    <mergeCell ref="AK31:AL31"/>
    <mergeCell ref="AM31:AN31"/>
    <mergeCell ref="Q31:R31"/>
    <mergeCell ref="S31:T31"/>
    <mergeCell ref="U31:V31"/>
    <mergeCell ref="W31:X31"/>
    <mergeCell ref="Y31:Z31"/>
    <mergeCell ref="AA31:AB31"/>
    <mergeCell ref="A84:B84"/>
    <mergeCell ref="C84:D84"/>
    <mergeCell ref="E84:F84"/>
    <mergeCell ref="G84:H84"/>
    <mergeCell ref="I84:J84"/>
    <mergeCell ref="K84:L84"/>
    <mergeCell ref="M84:N84"/>
    <mergeCell ref="O84:P84"/>
    <mergeCell ref="Y58:Z58"/>
    <mergeCell ref="M58:N58"/>
    <mergeCell ref="O58:P58"/>
    <mergeCell ref="Q58:R58"/>
    <mergeCell ref="S58:T58"/>
    <mergeCell ref="U58:V58"/>
    <mergeCell ref="W58:X58"/>
    <mergeCell ref="A58:B58"/>
    <mergeCell ref="C58:D58"/>
    <mergeCell ref="E58:F58"/>
    <mergeCell ref="G58:H58"/>
    <mergeCell ref="I58:J58"/>
    <mergeCell ref="K58:L58"/>
    <mergeCell ref="AM84:AN84"/>
    <mergeCell ref="Q84:R84"/>
    <mergeCell ref="S84:T84"/>
    <mergeCell ref="U84:V84"/>
    <mergeCell ref="W84:X84"/>
    <mergeCell ref="Y84:Z84"/>
    <mergeCell ref="AA84:AB84"/>
    <mergeCell ref="AK58:AL58"/>
    <mergeCell ref="AM58:AN58"/>
    <mergeCell ref="AA58:AB58"/>
    <mergeCell ref="AC58:AD58"/>
    <mergeCell ref="AE58:AF58"/>
    <mergeCell ref="AG58:AH58"/>
    <mergeCell ref="AI58:AJ58"/>
    <mergeCell ref="E109:F109"/>
    <mergeCell ref="G109:H109"/>
    <mergeCell ref="I109:J109"/>
    <mergeCell ref="K109:L109"/>
    <mergeCell ref="AC84:AD84"/>
    <mergeCell ref="AE84:AF84"/>
    <mergeCell ref="AG84:AH84"/>
    <mergeCell ref="AI84:AJ84"/>
    <mergeCell ref="AK84:AL84"/>
    <mergeCell ref="AK109:AL109"/>
    <mergeCell ref="AM109:AN109"/>
    <mergeCell ref="A129:B129"/>
    <mergeCell ref="C129:D129"/>
    <mergeCell ref="E129:F129"/>
    <mergeCell ref="G129:H129"/>
    <mergeCell ref="I129:J129"/>
    <mergeCell ref="K129:L129"/>
    <mergeCell ref="M129:N129"/>
    <mergeCell ref="O129:P129"/>
    <mergeCell ref="Y109:Z109"/>
    <mergeCell ref="AA109:AB109"/>
    <mergeCell ref="AC109:AD109"/>
    <mergeCell ref="AE109:AF109"/>
    <mergeCell ref="AG109:AH109"/>
    <mergeCell ref="AI109:AJ109"/>
    <mergeCell ref="M109:N109"/>
    <mergeCell ref="O109:P109"/>
    <mergeCell ref="Q109:R109"/>
    <mergeCell ref="S109:T109"/>
    <mergeCell ref="U109:V109"/>
    <mergeCell ref="W109:X109"/>
    <mergeCell ref="A109:B109"/>
    <mergeCell ref="C109:D109"/>
    <mergeCell ref="AI129:AJ129"/>
    <mergeCell ref="A147:B147"/>
    <mergeCell ref="C147:D147"/>
    <mergeCell ref="E147:F147"/>
    <mergeCell ref="G147:H147"/>
    <mergeCell ref="I147:J147"/>
    <mergeCell ref="K147:L147"/>
    <mergeCell ref="AC129:AD129"/>
    <mergeCell ref="AE129:AF129"/>
    <mergeCell ref="AG129:AH129"/>
    <mergeCell ref="Y147:Z147"/>
    <mergeCell ref="AA147:AB147"/>
    <mergeCell ref="AC147:AD147"/>
    <mergeCell ref="AE147:AF147"/>
    <mergeCell ref="AG147:AH147"/>
    <mergeCell ref="AI147:AJ147"/>
    <mergeCell ref="M147:N147"/>
    <mergeCell ref="O147:P147"/>
    <mergeCell ref="Q147:R147"/>
    <mergeCell ref="S147:T147"/>
    <mergeCell ref="U147:V147"/>
    <mergeCell ref="W147:X147"/>
    <mergeCell ref="AK129:AL129"/>
    <mergeCell ref="AM129:AN129"/>
    <mergeCell ref="Q129:R129"/>
    <mergeCell ref="S129:T129"/>
    <mergeCell ref="U129:V129"/>
    <mergeCell ref="W129:X129"/>
    <mergeCell ref="Y129:Z129"/>
    <mergeCell ref="AA129:AB129"/>
    <mergeCell ref="AK147:AL147"/>
    <mergeCell ref="AM147:AN147"/>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145"/>
  <sheetViews>
    <sheetView topLeftCell="A79" workbookViewId="0">
      <selection activeCell="A98" sqref="A98"/>
    </sheetView>
  </sheetViews>
  <sheetFormatPr defaultColWidth="20.7109375" defaultRowHeight="15" x14ac:dyDescent="0.25"/>
  <cols>
    <col min="1" max="1" width="50.7109375" style="2" customWidth="1"/>
    <col min="2" max="2" width="10.7109375" style="2" customWidth="1"/>
    <col min="3" max="3" width="50.7109375" style="2" customWidth="1"/>
    <col min="4" max="4" width="10.7109375" style="2" customWidth="1"/>
    <col min="5" max="5" width="50.7109375" style="2" customWidth="1"/>
    <col min="6" max="6" width="10.7109375" style="2" customWidth="1"/>
    <col min="7" max="16384" width="20.7109375" style="1"/>
  </cols>
  <sheetData>
    <row r="1" spans="1:11" x14ac:dyDescent="0.25">
      <c r="A1" s="139" t="s">
        <v>496</v>
      </c>
      <c r="B1" s="139"/>
      <c r="C1" s="139"/>
      <c r="D1" s="139"/>
      <c r="E1" s="139"/>
      <c r="F1" s="139"/>
    </row>
    <row r="3" spans="1:11" x14ac:dyDescent="0.25">
      <c r="A3" s="96" t="s">
        <v>21</v>
      </c>
      <c r="B3" s="96"/>
      <c r="C3" s="96"/>
      <c r="D3" s="96"/>
      <c r="E3" s="96"/>
      <c r="F3" s="96"/>
      <c r="G3" s="26"/>
      <c r="H3" s="26"/>
      <c r="I3" s="26"/>
      <c r="J3" s="25"/>
      <c r="K3" s="25"/>
    </row>
    <row r="4" spans="1:11" x14ac:dyDescent="0.25">
      <c r="B4" s="85"/>
      <c r="C4" s="85"/>
      <c r="D4" s="85"/>
      <c r="E4" s="85"/>
      <c r="F4" s="85"/>
      <c r="G4" s="27"/>
      <c r="H4" s="27"/>
      <c r="I4" s="27"/>
      <c r="J4" s="24"/>
      <c r="K4" s="24"/>
    </row>
    <row r="5" spans="1:11" x14ac:dyDescent="0.25">
      <c r="A5" s="138" t="s">
        <v>1249</v>
      </c>
      <c r="B5" s="138"/>
      <c r="C5" s="138"/>
      <c r="D5" s="138"/>
      <c r="E5" s="138"/>
      <c r="F5" s="138"/>
    </row>
    <row r="6" spans="1:11" x14ac:dyDescent="0.25">
      <c r="A6" s="140" t="s">
        <v>341</v>
      </c>
      <c r="B6" s="140"/>
      <c r="C6" s="140" t="s">
        <v>342</v>
      </c>
      <c r="D6" s="140"/>
      <c r="E6" s="140" t="s">
        <v>343</v>
      </c>
      <c r="F6" s="140"/>
    </row>
    <row r="7" spans="1:11" x14ac:dyDescent="0.25">
      <c r="A7" s="2" t="s">
        <v>344</v>
      </c>
      <c r="B7" s="77">
        <v>2</v>
      </c>
      <c r="C7" s="2" t="s">
        <v>736</v>
      </c>
      <c r="D7" s="77">
        <v>3</v>
      </c>
      <c r="E7" s="2" t="s">
        <v>355</v>
      </c>
      <c r="F7" s="77">
        <v>5</v>
      </c>
    </row>
    <row r="8" spans="1:11" x14ac:dyDescent="0.25">
      <c r="A8" s="2" t="s">
        <v>735</v>
      </c>
      <c r="B8" s="78">
        <v>4</v>
      </c>
      <c r="C8" s="2" t="s">
        <v>1178</v>
      </c>
      <c r="D8" s="78">
        <v>1</v>
      </c>
      <c r="E8" s="2" t="s">
        <v>356</v>
      </c>
      <c r="F8" s="78">
        <v>1</v>
      </c>
    </row>
    <row r="9" spans="1:11" x14ac:dyDescent="0.25">
      <c r="A9" s="2" t="s">
        <v>1216</v>
      </c>
      <c r="B9" s="78">
        <v>1</v>
      </c>
      <c r="C9" s="2" t="s">
        <v>354</v>
      </c>
      <c r="D9" s="78">
        <v>2</v>
      </c>
      <c r="E9" s="2" t="s">
        <v>1157</v>
      </c>
      <c r="F9" s="78">
        <v>1</v>
      </c>
    </row>
    <row r="10" spans="1:11" x14ac:dyDescent="0.25">
      <c r="B10" s="78"/>
      <c r="C10" s="2" t="s">
        <v>1217</v>
      </c>
      <c r="D10" s="78">
        <v>1</v>
      </c>
      <c r="E10" s="2" t="s">
        <v>359</v>
      </c>
      <c r="F10" s="78">
        <v>1</v>
      </c>
    </row>
    <row r="11" spans="1:11" ht="30" x14ac:dyDescent="0.25">
      <c r="B11" s="78"/>
      <c r="D11" s="78"/>
      <c r="E11" s="2" t="s">
        <v>986</v>
      </c>
      <c r="F11" s="78">
        <v>1</v>
      </c>
    </row>
    <row r="12" spans="1:11" x14ac:dyDescent="0.25">
      <c r="B12" s="78"/>
      <c r="D12" s="78"/>
      <c r="E12" s="2" t="s">
        <v>360</v>
      </c>
      <c r="F12" s="78">
        <v>1</v>
      </c>
    </row>
    <row r="13" spans="1:11" x14ac:dyDescent="0.25">
      <c r="B13" s="78"/>
      <c r="D13" s="78"/>
      <c r="E13" s="2" t="s">
        <v>357</v>
      </c>
      <c r="F13" s="78">
        <v>1</v>
      </c>
    </row>
    <row r="14" spans="1:11" x14ac:dyDescent="0.25">
      <c r="B14" s="78"/>
      <c r="D14" s="78"/>
      <c r="E14" s="2" t="s">
        <v>358</v>
      </c>
      <c r="F14" s="78">
        <v>1</v>
      </c>
    </row>
    <row r="15" spans="1:11" ht="30" x14ac:dyDescent="0.25">
      <c r="B15" s="78"/>
      <c r="D15" s="78"/>
      <c r="E15" s="2" t="s">
        <v>908</v>
      </c>
      <c r="F15" s="78">
        <v>1</v>
      </c>
    </row>
    <row r="16" spans="1:11" ht="30" x14ac:dyDescent="0.25">
      <c r="B16" s="78"/>
      <c r="D16" s="78"/>
      <c r="E16" s="2" t="s">
        <v>1135</v>
      </c>
      <c r="F16" s="78">
        <v>1</v>
      </c>
    </row>
    <row r="17" spans="1:6" x14ac:dyDescent="0.25">
      <c r="A17" s="37"/>
      <c r="B17" s="79"/>
      <c r="C17" s="37"/>
      <c r="D17" s="79"/>
      <c r="E17" s="37"/>
      <c r="F17" s="79"/>
    </row>
    <row r="19" spans="1:6" x14ac:dyDescent="0.25">
      <c r="A19" s="141" t="s">
        <v>1250</v>
      </c>
      <c r="B19" s="141"/>
      <c r="C19" s="141"/>
      <c r="D19" s="141"/>
      <c r="E19" s="141"/>
      <c r="F19" s="141"/>
    </row>
    <row r="20" spans="1:6" x14ac:dyDescent="0.25">
      <c r="A20" s="140" t="s">
        <v>361</v>
      </c>
      <c r="B20" s="140"/>
      <c r="C20" s="140" t="s">
        <v>366</v>
      </c>
      <c r="D20" s="140"/>
      <c r="E20" s="140" t="s">
        <v>367</v>
      </c>
      <c r="F20" s="140"/>
    </row>
    <row r="21" spans="1:6" x14ac:dyDescent="0.25">
      <c r="A21" s="2" t="s">
        <v>1137</v>
      </c>
      <c r="B21" s="77">
        <v>2</v>
      </c>
      <c r="C21" s="2" t="s">
        <v>1158</v>
      </c>
      <c r="D21" s="77">
        <v>0</v>
      </c>
      <c r="E21" s="2" t="s">
        <v>1159</v>
      </c>
      <c r="F21" s="77">
        <v>1</v>
      </c>
    </row>
    <row r="22" spans="1:6" x14ac:dyDescent="0.25">
      <c r="A22" s="2" t="s">
        <v>1180</v>
      </c>
      <c r="B22" s="78">
        <v>2</v>
      </c>
      <c r="C22" s="2" t="s">
        <v>1138</v>
      </c>
      <c r="D22" s="78">
        <v>1</v>
      </c>
      <c r="E22" s="2" t="s">
        <v>1219</v>
      </c>
      <c r="F22" s="78">
        <v>1</v>
      </c>
    </row>
    <row r="23" spans="1:6" x14ac:dyDescent="0.25">
      <c r="A23" s="2" t="s">
        <v>1181</v>
      </c>
      <c r="B23" s="78">
        <v>1</v>
      </c>
      <c r="C23" s="2" t="s">
        <v>1139</v>
      </c>
      <c r="D23" s="78">
        <v>1</v>
      </c>
      <c r="E23" s="2" t="s">
        <v>1218</v>
      </c>
      <c r="F23" s="78">
        <v>1</v>
      </c>
    </row>
    <row r="24" spans="1:6" x14ac:dyDescent="0.25">
      <c r="B24" s="78"/>
      <c r="C24" s="2" t="s">
        <v>1182</v>
      </c>
      <c r="D24" s="78">
        <v>1</v>
      </c>
      <c r="F24" s="78"/>
    </row>
    <row r="25" spans="1:6" x14ac:dyDescent="0.25">
      <c r="B25" s="78"/>
      <c r="D25" s="78"/>
      <c r="F25" s="78"/>
    </row>
    <row r="26" spans="1:6" x14ac:dyDescent="0.25">
      <c r="B26" s="78"/>
      <c r="D26" s="78"/>
      <c r="F26" s="78"/>
    </row>
    <row r="27" spans="1:6" x14ac:dyDescent="0.25">
      <c r="B27" s="78"/>
      <c r="D27" s="78"/>
      <c r="F27" s="78"/>
    </row>
    <row r="28" spans="1:6" x14ac:dyDescent="0.25">
      <c r="B28" s="78"/>
      <c r="D28" s="78"/>
      <c r="F28" s="78"/>
    </row>
    <row r="29" spans="1:6" x14ac:dyDescent="0.25">
      <c r="B29" s="78"/>
      <c r="D29" s="78"/>
      <c r="F29" s="78"/>
    </row>
    <row r="30" spans="1:6" x14ac:dyDescent="0.25">
      <c r="B30" s="78"/>
      <c r="D30" s="78"/>
      <c r="F30" s="78"/>
    </row>
    <row r="31" spans="1:6" x14ac:dyDescent="0.25">
      <c r="A31" s="37"/>
      <c r="B31" s="79"/>
      <c r="C31" s="37"/>
      <c r="D31" s="79"/>
      <c r="E31" s="37"/>
      <c r="F31" s="79"/>
    </row>
    <row r="33" spans="1:6" x14ac:dyDescent="0.25">
      <c r="A33" s="141" t="s">
        <v>1251</v>
      </c>
      <c r="B33" s="141"/>
      <c r="C33" s="141"/>
      <c r="D33" s="141"/>
      <c r="E33" s="141"/>
      <c r="F33" s="141"/>
    </row>
    <row r="34" spans="1:6" x14ac:dyDescent="0.25">
      <c r="A34" s="86" t="s">
        <v>376</v>
      </c>
      <c r="B34" s="87">
        <v>8</v>
      </c>
      <c r="C34" s="86" t="s">
        <v>377</v>
      </c>
      <c r="D34" s="87">
        <v>8</v>
      </c>
      <c r="E34" s="86" t="s">
        <v>378</v>
      </c>
      <c r="F34" s="87">
        <v>4</v>
      </c>
    </row>
    <row r="35" spans="1:6" x14ac:dyDescent="0.25">
      <c r="B35" s="78"/>
      <c r="D35" s="78"/>
      <c r="F35" s="78"/>
    </row>
    <row r="36" spans="1:6" x14ac:dyDescent="0.25">
      <c r="B36" s="78"/>
      <c r="D36" s="78"/>
      <c r="F36" s="78"/>
    </row>
    <row r="37" spans="1:6" x14ac:dyDescent="0.25">
      <c r="B37" s="78"/>
      <c r="D37" s="78"/>
      <c r="F37" s="78"/>
    </row>
    <row r="38" spans="1:6" x14ac:dyDescent="0.25">
      <c r="B38" s="78"/>
      <c r="C38" s="88"/>
      <c r="D38" s="78"/>
      <c r="F38" s="78"/>
    </row>
    <row r="39" spans="1:6" x14ac:dyDescent="0.25">
      <c r="B39" s="78"/>
      <c r="C39" s="88"/>
      <c r="D39" s="78"/>
      <c r="F39" s="78"/>
    </row>
    <row r="40" spans="1:6" x14ac:dyDescent="0.25">
      <c r="B40" s="78"/>
      <c r="C40" s="88"/>
      <c r="D40" s="78"/>
      <c r="F40" s="78"/>
    </row>
    <row r="41" spans="1:6" x14ac:dyDescent="0.25">
      <c r="B41" s="78"/>
      <c r="C41" s="88"/>
      <c r="D41" s="78"/>
      <c r="F41" s="78"/>
    </row>
    <row r="42" spans="1:6" x14ac:dyDescent="0.25">
      <c r="B42" s="78"/>
      <c r="D42" s="78"/>
      <c r="F42" s="78"/>
    </row>
    <row r="43" spans="1:6" x14ac:dyDescent="0.25">
      <c r="A43" s="37"/>
      <c r="B43" s="79"/>
      <c r="C43" s="37"/>
      <c r="D43" s="79"/>
      <c r="E43" s="37"/>
      <c r="F43" s="79"/>
    </row>
    <row r="45" spans="1:6" x14ac:dyDescent="0.25">
      <c r="A45" s="89" t="s">
        <v>379</v>
      </c>
      <c r="B45" s="87">
        <v>2</v>
      </c>
      <c r="C45" s="86" t="s">
        <v>367</v>
      </c>
      <c r="D45" s="87">
        <v>0</v>
      </c>
      <c r="E45" s="86"/>
      <c r="F45" s="87"/>
    </row>
    <row r="46" spans="1:6" x14ac:dyDescent="0.25">
      <c r="B46" s="78"/>
      <c r="C46" s="2" t="s">
        <v>1140</v>
      </c>
      <c r="D46" s="78">
        <v>1</v>
      </c>
      <c r="F46" s="78"/>
    </row>
    <row r="47" spans="1:6" x14ac:dyDescent="0.25">
      <c r="B47" s="78"/>
      <c r="C47" s="2" t="s">
        <v>1220</v>
      </c>
      <c r="D47" s="78">
        <v>1</v>
      </c>
      <c r="F47" s="78"/>
    </row>
    <row r="48" spans="1:6" x14ac:dyDescent="0.25">
      <c r="B48" s="78"/>
      <c r="D48" s="78"/>
      <c r="F48" s="78"/>
    </row>
    <row r="49" spans="1:6" x14ac:dyDescent="0.25">
      <c r="B49" s="90"/>
      <c r="C49" s="88"/>
      <c r="D49" s="78"/>
      <c r="F49" s="78"/>
    </row>
    <row r="50" spans="1:6" x14ac:dyDescent="0.25">
      <c r="B50" s="90"/>
      <c r="C50" s="88"/>
      <c r="D50" s="78"/>
      <c r="F50" s="78"/>
    </row>
    <row r="51" spans="1:6" x14ac:dyDescent="0.25">
      <c r="B51" s="90"/>
      <c r="C51" s="88"/>
      <c r="D51" s="78"/>
      <c r="F51" s="78"/>
    </row>
    <row r="52" spans="1:6" x14ac:dyDescent="0.25">
      <c r="B52" s="90"/>
      <c r="C52" s="88"/>
      <c r="D52" s="78"/>
      <c r="F52" s="78"/>
    </row>
    <row r="53" spans="1:6" x14ac:dyDescent="0.25">
      <c r="B53" s="90"/>
      <c r="C53" s="88"/>
      <c r="D53" s="78"/>
      <c r="F53" s="78"/>
    </row>
    <row r="54" spans="1:6" x14ac:dyDescent="0.25">
      <c r="A54" s="37"/>
      <c r="B54" s="79"/>
      <c r="C54" s="37"/>
      <c r="D54" s="79"/>
      <c r="E54" s="37"/>
      <c r="F54" s="79"/>
    </row>
    <row r="56" spans="1:6" x14ac:dyDescent="0.25">
      <c r="A56" s="138" t="s">
        <v>18</v>
      </c>
      <c r="B56" s="138"/>
      <c r="C56" s="138"/>
      <c r="D56" s="138"/>
      <c r="E56" s="138"/>
      <c r="F56" s="138"/>
    </row>
    <row r="57" spans="1:6" x14ac:dyDescent="0.25">
      <c r="A57" s="140" t="s">
        <v>378</v>
      </c>
      <c r="B57" s="140"/>
      <c r="C57" s="140" t="s">
        <v>389</v>
      </c>
      <c r="D57" s="140"/>
      <c r="E57" s="140" t="s">
        <v>367</v>
      </c>
      <c r="F57" s="140"/>
    </row>
    <row r="58" spans="1:6" x14ac:dyDescent="0.25">
      <c r="A58" s="2" t="s">
        <v>1141</v>
      </c>
      <c r="B58" s="78">
        <v>2</v>
      </c>
      <c r="C58" s="2" t="s">
        <v>1161</v>
      </c>
      <c r="D58" s="78">
        <v>1</v>
      </c>
      <c r="F58" s="78"/>
    </row>
    <row r="59" spans="1:6" ht="30" x14ac:dyDescent="0.25">
      <c r="A59" s="2" t="s">
        <v>1183</v>
      </c>
      <c r="B59" s="78">
        <v>1</v>
      </c>
      <c r="C59" s="2" t="s">
        <v>1164</v>
      </c>
      <c r="D59" s="78">
        <v>1</v>
      </c>
      <c r="F59" s="78"/>
    </row>
    <row r="60" spans="1:6" ht="45" x14ac:dyDescent="0.25">
      <c r="A60" s="2" t="s">
        <v>1160</v>
      </c>
      <c r="B60" s="78">
        <v>1</v>
      </c>
      <c r="C60" s="2" t="s">
        <v>1184</v>
      </c>
      <c r="D60" s="78">
        <v>1</v>
      </c>
      <c r="F60" s="78"/>
    </row>
    <row r="61" spans="1:6" x14ac:dyDescent="0.25">
      <c r="A61" s="2" t="s">
        <v>1221</v>
      </c>
      <c r="B61" s="78">
        <v>1</v>
      </c>
      <c r="D61" s="78"/>
      <c r="F61" s="78"/>
    </row>
    <row r="62" spans="1:6" ht="30" x14ac:dyDescent="0.25">
      <c r="A62" s="2" t="s">
        <v>1223</v>
      </c>
      <c r="B62" s="78">
        <v>1</v>
      </c>
      <c r="D62" s="78"/>
      <c r="F62" s="78"/>
    </row>
    <row r="63" spans="1:6" x14ac:dyDescent="0.25">
      <c r="B63" s="78"/>
      <c r="D63" s="78"/>
      <c r="F63" s="78"/>
    </row>
    <row r="64" spans="1:6" x14ac:dyDescent="0.25">
      <c r="B64" s="78"/>
      <c r="D64" s="78"/>
      <c r="F64" s="78"/>
    </row>
    <row r="65" spans="1:6" x14ac:dyDescent="0.25">
      <c r="B65" s="78"/>
      <c r="D65" s="78"/>
      <c r="F65" s="78"/>
    </row>
    <row r="66" spans="1:6" x14ac:dyDescent="0.25">
      <c r="B66" s="78"/>
      <c r="D66" s="78"/>
      <c r="F66" s="78"/>
    </row>
    <row r="67" spans="1:6" x14ac:dyDescent="0.25">
      <c r="B67" s="78"/>
      <c r="D67" s="78"/>
      <c r="F67" s="78"/>
    </row>
    <row r="68" spans="1:6" x14ac:dyDescent="0.25">
      <c r="B68" s="78"/>
      <c r="D68" s="78"/>
      <c r="F68" s="78"/>
    </row>
    <row r="69" spans="1:6" x14ac:dyDescent="0.25">
      <c r="B69" s="78"/>
      <c r="D69" s="78"/>
      <c r="F69" s="78"/>
    </row>
    <row r="70" spans="1:6" x14ac:dyDescent="0.25">
      <c r="B70" s="78"/>
      <c r="D70" s="78"/>
      <c r="F70" s="78"/>
    </row>
    <row r="71" spans="1:6" x14ac:dyDescent="0.25">
      <c r="B71" s="78"/>
      <c r="D71" s="78"/>
      <c r="F71" s="78"/>
    </row>
    <row r="72" spans="1:6" x14ac:dyDescent="0.25">
      <c r="B72" s="78"/>
      <c r="D72" s="78"/>
      <c r="F72" s="78"/>
    </row>
    <row r="73" spans="1:6" x14ac:dyDescent="0.25">
      <c r="B73" s="78"/>
      <c r="D73" s="78"/>
      <c r="F73" s="78"/>
    </row>
    <row r="74" spans="1:6" x14ac:dyDescent="0.25">
      <c r="B74" s="78"/>
      <c r="D74" s="78"/>
      <c r="F74" s="78"/>
    </row>
    <row r="75" spans="1:6" x14ac:dyDescent="0.25">
      <c r="B75" s="78"/>
      <c r="D75" s="78"/>
      <c r="F75" s="78"/>
    </row>
    <row r="76" spans="1:6" x14ac:dyDescent="0.25">
      <c r="B76" s="78"/>
      <c r="D76" s="78"/>
      <c r="F76" s="78"/>
    </row>
    <row r="77" spans="1:6" x14ac:dyDescent="0.25">
      <c r="B77" s="78"/>
      <c r="D77" s="78"/>
      <c r="F77" s="78"/>
    </row>
    <row r="78" spans="1:6" x14ac:dyDescent="0.25">
      <c r="A78" s="37"/>
      <c r="B78" s="79"/>
      <c r="C78" s="37"/>
      <c r="D78" s="79"/>
      <c r="E78" s="37"/>
      <c r="F78" s="79"/>
    </row>
    <row r="81" spans="1:6" x14ac:dyDescent="0.25">
      <c r="A81" s="138" t="s">
        <v>19</v>
      </c>
      <c r="B81" s="138"/>
      <c r="C81" s="138"/>
      <c r="D81" s="138"/>
      <c r="E81" s="138"/>
      <c r="F81" s="138"/>
    </row>
    <row r="82" spans="1:6" x14ac:dyDescent="0.25">
      <c r="A82" s="140" t="s">
        <v>1245</v>
      </c>
      <c r="B82" s="140"/>
      <c r="C82" s="140" t="s">
        <v>419</v>
      </c>
      <c r="D82" s="140"/>
      <c r="E82" s="140" t="s">
        <v>420</v>
      </c>
      <c r="F82" s="140"/>
    </row>
    <row r="83" spans="1:6" ht="120" x14ac:dyDescent="0.25">
      <c r="B83" s="77"/>
      <c r="C83" s="2" t="s">
        <v>1143</v>
      </c>
      <c r="D83" s="77">
        <v>1</v>
      </c>
      <c r="E83" s="2" t="s">
        <v>1142</v>
      </c>
      <c r="F83" s="77">
        <v>1</v>
      </c>
    </row>
    <row r="84" spans="1:6" x14ac:dyDescent="0.25">
      <c r="B84" s="78"/>
      <c r="C84" s="2" t="s">
        <v>1144</v>
      </c>
      <c r="D84" s="78">
        <v>1</v>
      </c>
      <c r="F84" s="78"/>
    </row>
    <row r="85" spans="1:6" x14ac:dyDescent="0.25">
      <c r="B85" s="78"/>
      <c r="C85" s="2" t="s">
        <v>1179</v>
      </c>
      <c r="D85" s="78">
        <v>1</v>
      </c>
      <c r="F85" s="78"/>
    </row>
    <row r="86" spans="1:6" x14ac:dyDescent="0.25">
      <c r="B86" s="78"/>
      <c r="D86" s="78"/>
      <c r="F86" s="78"/>
    </row>
    <row r="87" spans="1:6" x14ac:dyDescent="0.25">
      <c r="B87" s="78"/>
      <c r="D87" s="78"/>
      <c r="F87" s="78"/>
    </row>
    <row r="88" spans="1:6" x14ac:dyDescent="0.25">
      <c r="B88" s="78"/>
      <c r="D88" s="78"/>
      <c r="F88" s="78"/>
    </row>
    <row r="89" spans="1:6" x14ac:dyDescent="0.25">
      <c r="B89" s="78"/>
      <c r="D89" s="78"/>
      <c r="F89" s="78"/>
    </row>
    <row r="90" spans="1:6" x14ac:dyDescent="0.25">
      <c r="B90" s="78"/>
      <c r="D90" s="78"/>
      <c r="F90" s="78"/>
    </row>
    <row r="91" spans="1:6" x14ac:dyDescent="0.25">
      <c r="B91" s="78"/>
      <c r="D91" s="78"/>
      <c r="F91" s="78"/>
    </row>
    <row r="92" spans="1:6" x14ac:dyDescent="0.25">
      <c r="B92" s="78"/>
      <c r="D92" s="78"/>
      <c r="F92" s="78"/>
    </row>
    <row r="93" spans="1:6" x14ac:dyDescent="0.25">
      <c r="A93" s="37"/>
      <c r="B93" s="79"/>
      <c r="C93" s="37"/>
      <c r="D93" s="79"/>
      <c r="E93" s="37"/>
      <c r="F93" s="79"/>
    </row>
    <row r="95" spans="1:6" x14ac:dyDescent="0.25">
      <c r="A95" s="99" t="s">
        <v>22</v>
      </c>
      <c r="B95" s="99"/>
      <c r="C95" s="99"/>
      <c r="D95" s="99"/>
      <c r="E95" s="99"/>
      <c r="F95" s="99"/>
    </row>
    <row r="96" spans="1:6" s="23" customFormat="1" x14ac:dyDescent="0.25">
      <c r="A96" s="91"/>
      <c r="B96" s="91"/>
      <c r="C96" s="91"/>
      <c r="D96" s="91"/>
      <c r="E96" s="91"/>
      <c r="F96" s="91"/>
    </row>
    <row r="97" spans="1:7" x14ac:dyDescent="0.25">
      <c r="A97" s="138" t="s">
        <v>20</v>
      </c>
      <c r="B97" s="138"/>
      <c r="C97" s="138"/>
      <c r="D97" s="138"/>
      <c r="E97" s="138"/>
      <c r="F97" s="138"/>
    </row>
    <row r="98" spans="1:7" ht="30" x14ac:dyDescent="0.25">
      <c r="A98" s="2" t="s">
        <v>1165</v>
      </c>
      <c r="B98" s="77">
        <v>1</v>
      </c>
      <c r="D98" s="77"/>
      <c r="F98" s="77"/>
      <c r="G98" s="32"/>
    </row>
    <row r="99" spans="1:7" ht="30" x14ac:dyDescent="0.25">
      <c r="A99" s="2" t="s">
        <v>1050</v>
      </c>
      <c r="B99" s="78">
        <v>1</v>
      </c>
      <c r="D99" s="78"/>
      <c r="F99" s="78"/>
      <c r="G99" s="32"/>
    </row>
    <row r="100" spans="1:7" x14ac:dyDescent="0.25">
      <c r="A100" s="2" t="s">
        <v>1177</v>
      </c>
      <c r="B100" s="78">
        <v>1</v>
      </c>
      <c r="D100" s="78"/>
      <c r="F100" s="78"/>
      <c r="G100" s="32"/>
    </row>
    <row r="101" spans="1:7" ht="30" x14ac:dyDescent="0.25">
      <c r="A101" s="2" t="s">
        <v>1224</v>
      </c>
      <c r="B101" s="78">
        <v>1</v>
      </c>
      <c r="D101" s="78"/>
      <c r="F101" s="78"/>
      <c r="G101" s="32"/>
    </row>
    <row r="102" spans="1:7" x14ac:dyDescent="0.25">
      <c r="B102" s="78"/>
      <c r="D102" s="78"/>
      <c r="F102" s="78"/>
      <c r="G102" s="32"/>
    </row>
    <row r="103" spans="1:7" x14ac:dyDescent="0.25">
      <c r="B103" s="78"/>
      <c r="D103" s="78"/>
      <c r="F103" s="78"/>
      <c r="G103" s="32"/>
    </row>
    <row r="104" spans="1:7" x14ac:dyDescent="0.25">
      <c r="B104" s="78"/>
      <c r="D104" s="78"/>
      <c r="F104" s="78"/>
      <c r="G104" s="32"/>
    </row>
    <row r="105" spans="1:7" x14ac:dyDescent="0.25">
      <c r="B105" s="78"/>
      <c r="D105" s="78"/>
      <c r="F105" s="78"/>
      <c r="G105" s="32"/>
    </row>
    <row r="106" spans="1:7" x14ac:dyDescent="0.25">
      <c r="B106" s="78"/>
      <c r="D106" s="78"/>
      <c r="F106" s="78"/>
      <c r="G106" s="32"/>
    </row>
    <row r="107" spans="1:7" x14ac:dyDescent="0.25">
      <c r="B107" s="78"/>
      <c r="D107" s="78"/>
      <c r="F107" s="78"/>
      <c r="G107" s="32"/>
    </row>
    <row r="108" spans="1:7" x14ac:dyDescent="0.25">
      <c r="A108" s="37"/>
      <c r="B108" s="79"/>
      <c r="C108" s="37"/>
      <c r="D108" s="79"/>
      <c r="E108" s="37"/>
      <c r="F108" s="79"/>
      <c r="G108" s="32"/>
    </row>
    <row r="109" spans="1:7" x14ac:dyDescent="0.25">
      <c r="A109" s="91"/>
      <c r="B109" s="91"/>
      <c r="C109" s="91"/>
      <c r="D109" s="91"/>
      <c r="E109" s="91"/>
      <c r="F109" s="91"/>
      <c r="G109" s="32"/>
    </row>
    <row r="110" spans="1:7" x14ac:dyDescent="0.25">
      <c r="A110" s="138" t="s">
        <v>1166</v>
      </c>
      <c r="B110" s="138"/>
      <c r="C110" s="138"/>
      <c r="D110" s="138"/>
      <c r="E110" s="138"/>
      <c r="F110" s="138"/>
      <c r="G110" s="32"/>
    </row>
    <row r="111" spans="1:7" x14ac:dyDescent="0.25">
      <c r="A111" s="2" t="s">
        <v>1169</v>
      </c>
      <c r="B111" s="77">
        <v>1</v>
      </c>
      <c r="C111" s="2" t="s">
        <v>1168</v>
      </c>
      <c r="D111" s="77">
        <v>1</v>
      </c>
      <c r="F111" s="77"/>
    </row>
    <row r="112" spans="1:7" x14ac:dyDescent="0.25">
      <c r="A112" s="2" t="s">
        <v>1170</v>
      </c>
      <c r="B112" s="78">
        <v>1</v>
      </c>
      <c r="C112" s="2" t="s">
        <v>1173</v>
      </c>
      <c r="D112" s="78">
        <v>1</v>
      </c>
      <c r="F112" s="78"/>
    </row>
    <row r="113" spans="1:6" x14ac:dyDescent="0.25">
      <c r="B113" s="78"/>
      <c r="C113" s="2" t="s">
        <v>1222</v>
      </c>
      <c r="D113" s="78">
        <v>1</v>
      </c>
      <c r="F113" s="78"/>
    </row>
    <row r="114" spans="1:6" x14ac:dyDescent="0.25">
      <c r="B114" s="78"/>
      <c r="D114" s="78"/>
      <c r="F114" s="78"/>
    </row>
    <row r="115" spans="1:6" x14ac:dyDescent="0.25">
      <c r="B115" s="78"/>
      <c r="D115" s="78"/>
      <c r="F115" s="78"/>
    </row>
    <row r="116" spans="1:6" x14ac:dyDescent="0.25">
      <c r="B116" s="78"/>
      <c r="D116" s="78"/>
      <c r="F116" s="78"/>
    </row>
    <row r="117" spans="1:6" x14ac:dyDescent="0.25">
      <c r="B117" s="78"/>
      <c r="D117" s="78"/>
      <c r="F117" s="78"/>
    </row>
    <row r="118" spans="1:6" x14ac:dyDescent="0.25">
      <c r="B118" s="78"/>
      <c r="D118" s="78"/>
      <c r="F118" s="78"/>
    </row>
    <row r="119" spans="1:6" x14ac:dyDescent="0.25">
      <c r="B119" s="78"/>
      <c r="D119" s="78"/>
      <c r="F119" s="78"/>
    </row>
    <row r="120" spans="1:6" x14ac:dyDescent="0.25">
      <c r="B120" s="78"/>
      <c r="D120" s="78"/>
      <c r="F120" s="78"/>
    </row>
    <row r="121" spans="1:6" x14ac:dyDescent="0.25">
      <c r="A121" s="37"/>
      <c r="B121" s="79"/>
      <c r="C121" s="37"/>
      <c r="D121" s="79"/>
      <c r="E121" s="37"/>
      <c r="F121" s="79"/>
    </row>
    <row r="122" spans="1:6" x14ac:dyDescent="0.25">
      <c r="A122" s="91"/>
      <c r="B122" s="91"/>
      <c r="C122" s="91"/>
      <c r="D122" s="91"/>
      <c r="E122" s="91"/>
      <c r="F122" s="91"/>
    </row>
    <row r="123" spans="1:6" x14ac:dyDescent="0.25">
      <c r="A123" s="138" t="s">
        <v>1167</v>
      </c>
      <c r="B123" s="138"/>
      <c r="C123" s="138"/>
      <c r="D123" s="138"/>
      <c r="E123" s="138"/>
      <c r="F123" s="138"/>
    </row>
    <row r="124" spans="1:6" x14ac:dyDescent="0.25">
      <c r="A124" s="2" t="s">
        <v>1171</v>
      </c>
      <c r="B124" s="77">
        <v>1</v>
      </c>
      <c r="D124" s="77"/>
      <c r="F124" s="77"/>
    </row>
    <row r="125" spans="1:6" ht="30" x14ac:dyDescent="0.25">
      <c r="A125" s="2" t="s">
        <v>1172</v>
      </c>
      <c r="B125" s="78">
        <v>1</v>
      </c>
      <c r="D125" s="78"/>
      <c r="F125" s="78"/>
    </row>
    <row r="126" spans="1:6" x14ac:dyDescent="0.25">
      <c r="B126" s="78"/>
      <c r="D126" s="78"/>
      <c r="F126" s="78"/>
    </row>
    <row r="127" spans="1:6" x14ac:dyDescent="0.25">
      <c r="B127" s="78"/>
      <c r="D127" s="78"/>
      <c r="F127" s="78"/>
    </row>
    <row r="128" spans="1:6" x14ac:dyDescent="0.25">
      <c r="B128" s="78"/>
      <c r="D128" s="78"/>
      <c r="F128" s="78"/>
    </row>
    <row r="129" spans="1:6" x14ac:dyDescent="0.25">
      <c r="B129" s="78"/>
      <c r="D129" s="78"/>
      <c r="F129" s="78"/>
    </row>
    <row r="130" spans="1:6" x14ac:dyDescent="0.25">
      <c r="B130" s="78"/>
      <c r="D130" s="78"/>
      <c r="F130" s="78"/>
    </row>
    <row r="131" spans="1:6" x14ac:dyDescent="0.25">
      <c r="B131" s="78"/>
      <c r="D131" s="78"/>
      <c r="F131" s="78"/>
    </row>
    <row r="132" spans="1:6" x14ac:dyDescent="0.25">
      <c r="B132" s="78"/>
      <c r="D132" s="78"/>
      <c r="F132" s="78"/>
    </row>
    <row r="133" spans="1:6" x14ac:dyDescent="0.25">
      <c r="B133" s="78"/>
      <c r="D133" s="78"/>
      <c r="F133" s="78"/>
    </row>
    <row r="134" spans="1:6" x14ac:dyDescent="0.25">
      <c r="A134" s="37"/>
      <c r="B134" s="79"/>
      <c r="C134" s="37"/>
      <c r="D134" s="79"/>
      <c r="E134" s="37"/>
      <c r="F134" s="79"/>
    </row>
    <row r="135" spans="1:6" x14ac:dyDescent="0.25">
      <c r="A135" s="90"/>
      <c r="B135" s="90"/>
      <c r="C135" s="90"/>
      <c r="D135" s="90"/>
      <c r="E135" s="90"/>
      <c r="F135" s="90"/>
    </row>
    <row r="136" spans="1:6" x14ac:dyDescent="0.25">
      <c r="A136" s="90"/>
      <c r="B136" s="90"/>
      <c r="C136" s="90"/>
      <c r="D136" s="90"/>
      <c r="E136" s="90"/>
      <c r="F136" s="90"/>
    </row>
    <row r="137" spans="1:6" x14ac:dyDescent="0.25">
      <c r="A137" s="99" t="s">
        <v>22</v>
      </c>
      <c r="B137" s="99"/>
      <c r="C137" s="99"/>
      <c r="D137" s="99"/>
      <c r="E137" s="99"/>
      <c r="F137" s="99"/>
    </row>
    <row r="138" spans="1:6" x14ac:dyDescent="0.25">
      <c r="A138" s="91"/>
      <c r="B138" s="91"/>
      <c r="C138" s="91"/>
      <c r="D138" s="91"/>
      <c r="E138" s="91"/>
      <c r="F138" s="91"/>
    </row>
    <row r="139" spans="1:6" x14ac:dyDescent="0.25">
      <c r="A139" s="138" t="s">
        <v>428</v>
      </c>
      <c r="B139" s="138"/>
      <c r="C139" s="143"/>
      <c r="D139" s="143"/>
      <c r="E139" s="143"/>
      <c r="F139" s="143"/>
    </row>
    <row r="140" spans="1:6" x14ac:dyDescent="0.25">
      <c r="A140" s="92" t="s">
        <v>426</v>
      </c>
      <c r="B140" s="92">
        <f xml:space="preserve"> COUNTIF('Key Questions'!$J$36:$J$43, $A140)</f>
        <v>7</v>
      </c>
      <c r="C140" s="90"/>
      <c r="D140" s="90"/>
      <c r="E140" s="144"/>
      <c r="F140" s="144"/>
    </row>
    <row r="141" spans="1:6" x14ac:dyDescent="0.25">
      <c r="A141" s="92" t="s">
        <v>427</v>
      </c>
      <c r="B141" s="92">
        <f xml:space="preserve"> COUNTIF('Key Questions'!$J$36:$J$43, $A141)</f>
        <v>1</v>
      </c>
      <c r="C141" s="90"/>
      <c r="D141" s="90"/>
      <c r="E141" s="93"/>
      <c r="F141" s="93"/>
    </row>
    <row r="143" spans="1:6" x14ac:dyDescent="0.25">
      <c r="A143" s="138" t="s">
        <v>24</v>
      </c>
      <c r="B143" s="138"/>
      <c r="C143" s="143"/>
      <c r="D143" s="143"/>
      <c r="E143" s="143"/>
      <c r="F143" s="143"/>
    </row>
    <row r="144" spans="1:6" x14ac:dyDescent="0.25">
      <c r="A144" s="92" t="s">
        <v>426</v>
      </c>
      <c r="B144" s="92">
        <f xml:space="preserve"> COUNTIF('Key Questions'!$K$36:$K$43, $A144)</f>
        <v>7</v>
      </c>
      <c r="C144" s="90"/>
      <c r="D144" s="90"/>
      <c r="E144" s="142"/>
      <c r="F144" s="142"/>
    </row>
    <row r="145" spans="1:4" x14ac:dyDescent="0.25">
      <c r="A145" s="92" t="s">
        <v>427</v>
      </c>
      <c r="B145" s="92">
        <f xml:space="preserve"> COUNTIF('Key Questions'!$K$36:$K$43, $A145)</f>
        <v>1</v>
      </c>
      <c r="C145" s="90"/>
      <c r="D145" s="90"/>
    </row>
  </sheetData>
  <mergeCells count="28">
    <mergeCell ref="E144:F144"/>
    <mergeCell ref="A95:F95"/>
    <mergeCell ref="A97:F97"/>
    <mergeCell ref="A137:F137"/>
    <mergeCell ref="A139:F139"/>
    <mergeCell ref="E140:F140"/>
    <mergeCell ref="A143:F143"/>
    <mergeCell ref="A110:F110"/>
    <mergeCell ref="A123:F123"/>
    <mergeCell ref="A57:B57"/>
    <mergeCell ref="C57:D57"/>
    <mergeCell ref="E57:F57"/>
    <mergeCell ref="A81:F81"/>
    <mergeCell ref="A82:B82"/>
    <mergeCell ref="C82:D82"/>
    <mergeCell ref="E82:F82"/>
    <mergeCell ref="A56:F56"/>
    <mergeCell ref="A1:F1"/>
    <mergeCell ref="A3:F3"/>
    <mergeCell ref="A5:F5"/>
    <mergeCell ref="A6:B6"/>
    <mergeCell ref="C6:D6"/>
    <mergeCell ref="E6:F6"/>
    <mergeCell ref="A19:F19"/>
    <mergeCell ref="A20:B20"/>
    <mergeCell ref="C20:D20"/>
    <mergeCell ref="E20:F20"/>
    <mergeCell ref="A33:F33"/>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G106"/>
  <sheetViews>
    <sheetView tabSelected="1" zoomScale="85" zoomScaleNormal="85" workbookViewId="0">
      <selection sqref="A1:J2"/>
    </sheetView>
  </sheetViews>
  <sheetFormatPr defaultRowHeight="15" x14ac:dyDescent="0.25"/>
  <cols>
    <col min="1" max="1" width="30.7109375" style="61" customWidth="1"/>
    <col min="2" max="2" width="9.140625" style="61"/>
    <col min="3" max="3" width="30.7109375" style="61" customWidth="1"/>
    <col min="4" max="4" width="9.140625" style="61"/>
    <col min="5" max="5" width="30.7109375" style="61" customWidth="1"/>
    <col min="6" max="6" width="9.140625" style="61"/>
    <col min="7" max="7" width="30.7109375" style="61" customWidth="1"/>
    <col min="8" max="8" width="9.140625" style="61"/>
    <col min="9" max="9" width="30.7109375" style="61" customWidth="1"/>
    <col min="10" max="10" width="9.140625" style="61"/>
    <col min="11" max="11" width="30.7109375" style="61" customWidth="1"/>
    <col min="12" max="12" width="9.140625" style="61"/>
    <col min="13" max="13" width="30.7109375" style="61" customWidth="1"/>
    <col min="14" max="14" width="9.140625" style="61"/>
    <col min="15" max="15" width="30.7109375" style="61" customWidth="1"/>
    <col min="16" max="16" width="9.140625" style="61"/>
    <col min="17" max="17" width="30.7109375" style="61" customWidth="1"/>
    <col min="18" max="18" width="9.140625" style="61"/>
    <col min="19" max="19" width="30.7109375" style="61" customWidth="1"/>
    <col min="20" max="20" width="9.140625" style="61"/>
    <col min="21" max="21" width="30.7109375" style="61" customWidth="1"/>
    <col min="22" max="22" width="9.140625" style="61"/>
    <col min="23" max="23" width="30.7109375" style="61" customWidth="1"/>
    <col min="24" max="24" width="9.140625" style="61"/>
    <col min="25" max="25" width="30.7109375" style="61" customWidth="1"/>
    <col min="26" max="26" width="9.140625" style="61"/>
    <col min="27" max="27" width="30.7109375" style="61" customWidth="1"/>
    <col min="28" max="28" width="9.140625" style="61" customWidth="1"/>
    <col min="29" max="29" width="30.7109375" style="61" customWidth="1"/>
    <col min="30" max="30" width="9.140625" style="61"/>
    <col min="31" max="31" width="30.7109375" style="61" customWidth="1"/>
    <col min="32" max="32" width="9.140625" style="61"/>
    <col min="33" max="33" width="30.7109375" style="61" customWidth="1"/>
    <col min="34" max="34" width="9.140625" style="61"/>
    <col min="35" max="35" width="30.7109375" style="61" customWidth="1"/>
    <col min="36" max="36" width="9.140625" style="61"/>
    <col min="37" max="37" width="30.7109375" style="61" customWidth="1"/>
    <col min="38" max="38" width="9.140625" style="61"/>
    <col min="39" max="39" width="30.7109375" style="61" customWidth="1"/>
    <col min="40" max="16384" width="9.140625" style="61"/>
  </cols>
  <sheetData>
    <row r="1" spans="1:59" x14ac:dyDescent="0.25">
      <c r="A1" s="137" t="s">
        <v>497</v>
      </c>
      <c r="B1" s="137"/>
      <c r="C1" s="137"/>
      <c r="D1" s="137"/>
      <c r="E1" s="137"/>
      <c r="F1" s="137"/>
      <c r="G1" s="137"/>
      <c r="H1" s="137"/>
      <c r="I1" s="137"/>
      <c r="J1" s="137"/>
    </row>
    <row r="2" spans="1:59" x14ac:dyDescent="0.25">
      <c r="A2" s="137"/>
      <c r="B2" s="137"/>
      <c r="C2" s="137"/>
      <c r="D2" s="137"/>
      <c r="E2" s="137"/>
      <c r="F2" s="137"/>
      <c r="G2" s="137"/>
      <c r="H2" s="137"/>
      <c r="I2" s="137"/>
      <c r="J2" s="137"/>
    </row>
    <row r="4" spans="1:59" s="80" customFormat="1" x14ac:dyDescent="0.25">
      <c r="A4" s="135">
        <v>1</v>
      </c>
      <c r="B4" s="135"/>
      <c r="C4" s="135">
        <f>A4+1</f>
        <v>2</v>
      </c>
      <c r="D4" s="135"/>
      <c r="E4" s="135">
        <f t="shared" ref="E4" si="0">C4+1</f>
        <v>3</v>
      </c>
      <c r="F4" s="135"/>
      <c r="G4" s="135">
        <f t="shared" ref="G4" si="1">E4+1</f>
        <v>4</v>
      </c>
      <c r="H4" s="135"/>
      <c r="I4" s="135">
        <f t="shared" ref="I4" si="2">G4+1</f>
        <v>5</v>
      </c>
      <c r="J4" s="135"/>
      <c r="K4" s="135">
        <f t="shared" ref="K4" si="3">I4+1</f>
        <v>6</v>
      </c>
      <c r="L4" s="135"/>
      <c r="M4" s="135">
        <f t="shared" ref="M4" si="4">K4+1</f>
        <v>7</v>
      </c>
      <c r="N4" s="135"/>
      <c r="O4" s="135">
        <f t="shared" ref="O4" si="5">M4+1</f>
        <v>8</v>
      </c>
      <c r="P4" s="135"/>
      <c r="Q4" s="135">
        <f t="shared" ref="Q4" si="6">O4+1</f>
        <v>9</v>
      </c>
      <c r="R4" s="135"/>
      <c r="S4" s="135">
        <f t="shared" ref="S4" si="7">Q4+1</f>
        <v>10</v>
      </c>
      <c r="T4" s="135"/>
      <c r="U4" s="135">
        <f t="shared" ref="U4" si="8">S4+1</f>
        <v>11</v>
      </c>
      <c r="V4" s="135"/>
      <c r="W4" s="135">
        <f t="shared" ref="W4" si="9">U4+1</f>
        <v>12</v>
      </c>
      <c r="X4" s="135"/>
      <c r="Y4" s="135">
        <f t="shared" ref="Y4" si="10">W4+1</f>
        <v>13</v>
      </c>
      <c r="Z4" s="135"/>
      <c r="AA4" s="135">
        <f t="shared" ref="AA4" si="11">Y4+1</f>
        <v>14</v>
      </c>
      <c r="AB4" s="135"/>
      <c r="AC4" s="135">
        <f t="shared" ref="AC4" si="12">AA4+1</f>
        <v>15</v>
      </c>
      <c r="AD4" s="135"/>
      <c r="AE4" s="135">
        <f t="shared" ref="AE4" si="13">AC4+1</f>
        <v>16</v>
      </c>
      <c r="AF4" s="135"/>
      <c r="AG4" s="135">
        <f t="shared" ref="AG4" si="14">AE4+1</f>
        <v>17</v>
      </c>
      <c r="AH4" s="135"/>
      <c r="AI4" s="135">
        <f t="shared" ref="AI4" si="15">AG4+1</f>
        <v>18</v>
      </c>
      <c r="AJ4" s="135"/>
      <c r="AK4" s="135">
        <f t="shared" ref="AK4" si="16">AI4+1</f>
        <v>19</v>
      </c>
      <c r="AL4" s="135"/>
      <c r="AM4" s="135">
        <f t="shared" ref="AM4" si="17">AK4+1</f>
        <v>20</v>
      </c>
      <c r="AN4" s="135"/>
      <c r="BA4" s="136"/>
      <c r="BB4" s="136"/>
      <c r="BC4" s="136"/>
      <c r="BD4" s="136"/>
      <c r="BE4" s="136"/>
      <c r="BF4" s="136"/>
      <c r="BG4" s="95"/>
    </row>
    <row r="5" spans="1:59" ht="105" x14ac:dyDescent="0.25">
      <c r="A5" s="60"/>
      <c r="B5" s="82"/>
      <c r="C5" s="60" t="s">
        <v>1185</v>
      </c>
      <c r="D5" s="82">
        <v>1</v>
      </c>
      <c r="E5" s="60" t="s">
        <v>1290</v>
      </c>
      <c r="F5" s="82">
        <v>1</v>
      </c>
      <c r="G5" s="60"/>
      <c r="H5" s="82"/>
      <c r="I5" s="60" t="s">
        <v>1291</v>
      </c>
      <c r="J5" s="82">
        <v>1</v>
      </c>
      <c r="K5" s="60" t="s">
        <v>1188</v>
      </c>
      <c r="L5" s="82">
        <v>1</v>
      </c>
      <c r="M5" s="60" t="s">
        <v>1292</v>
      </c>
      <c r="N5" s="82">
        <v>1</v>
      </c>
      <c r="O5" s="60" t="s">
        <v>1292</v>
      </c>
      <c r="P5" s="82">
        <v>1</v>
      </c>
      <c r="Q5" s="60" t="s">
        <v>1292</v>
      </c>
      <c r="R5" s="82">
        <v>1</v>
      </c>
      <c r="S5" s="60" t="s">
        <v>1293</v>
      </c>
      <c r="T5" s="82">
        <v>1</v>
      </c>
      <c r="U5" s="60" t="s">
        <v>1295</v>
      </c>
      <c r="V5" s="82">
        <v>1</v>
      </c>
      <c r="W5" s="60" t="s">
        <v>1296</v>
      </c>
      <c r="X5" s="82">
        <v>1</v>
      </c>
      <c r="Y5" s="60" t="s">
        <v>1298</v>
      </c>
      <c r="Z5" s="82">
        <v>1</v>
      </c>
      <c r="AA5" s="60" t="s">
        <v>1299</v>
      </c>
      <c r="AB5" s="82">
        <v>1</v>
      </c>
      <c r="AC5" s="60" t="s">
        <v>1301</v>
      </c>
      <c r="AD5" s="82">
        <v>1</v>
      </c>
      <c r="AE5" s="60" t="s">
        <v>1301</v>
      </c>
      <c r="AF5" s="82">
        <v>1</v>
      </c>
      <c r="AG5" s="60" t="s">
        <v>1302</v>
      </c>
      <c r="AH5" s="82">
        <v>1</v>
      </c>
      <c r="AI5" s="60" t="s">
        <v>1301</v>
      </c>
      <c r="AJ5" s="82">
        <v>1</v>
      </c>
      <c r="AK5" s="60" t="s">
        <v>1301</v>
      </c>
      <c r="AL5" s="82">
        <v>1</v>
      </c>
      <c r="AM5" s="60" t="s">
        <v>1301</v>
      </c>
      <c r="AN5" s="82">
        <v>1</v>
      </c>
    </row>
    <row r="6" spans="1:59" ht="90" x14ac:dyDescent="0.25">
      <c r="A6" s="60"/>
      <c r="B6" s="82"/>
      <c r="C6" s="60"/>
      <c r="D6" s="82"/>
      <c r="E6" s="60" t="s">
        <v>1186</v>
      </c>
      <c r="F6" s="82">
        <v>1</v>
      </c>
      <c r="G6" s="60"/>
      <c r="H6" s="82"/>
      <c r="I6" s="60" t="s">
        <v>1187</v>
      </c>
      <c r="J6" s="82">
        <v>1</v>
      </c>
      <c r="K6" s="60"/>
      <c r="L6" s="82"/>
      <c r="M6" s="60" t="s">
        <v>1189</v>
      </c>
      <c r="N6" s="82">
        <v>1</v>
      </c>
      <c r="O6" s="60" t="s">
        <v>1154</v>
      </c>
      <c r="P6" s="82">
        <v>1</v>
      </c>
      <c r="Q6" s="60" t="s">
        <v>1190</v>
      </c>
      <c r="R6" s="82">
        <v>1</v>
      </c>
      <c r="S6" s="60" t="s">
        <v>1292</v>
      </c>
      <c r="T6" s="82">
        <v>1</v>
      </c>
      <c r="U6" s="60" t="s">
        <v>1292</v>
      </c>
      <c r="V6" s="82">
        <v>1</v>
      </c>
      <c r="W6" s="60" t="s">
        <v>694</v>
      </c>
      <c r="X6" s="82">
        <v>1</v>
      </c>
      <c r="Y6" s="60" t="s">
        <v>1195</v>
      </c>
      <c r="Z6" s="82">
        <v>1</v>
      </c>
      <c r="AA6" s="60" t="s">
        <v>1300</v>
      </c>
      <c r="AB6" s="82">
        <v>1</v>
      </c>
      <c r="AC6" s="60" t="s">
        <v>1194</v>
      </c>
      <c r="AD6" s="82">
        <v>1</v>
      </c>
      <c r="AE6" s="60" t="s">
        <v>1196</v>
      </c>
      <c r="AF6" s="82">
        <v>1</v>
      </c>
      <c r="AG6" s="60" t="s">
        <v>1303</v>
      </c>
      <c r="AH6" s="82">
        <v>1</v>
      </c>
      <c r="AI6" s="60" t="s">
        <v>1196</v>
      </c>
      <c r="AJ6" s="82">
        <v>1</v>
      </c>
      <c r="AK6" s="60" t="s">
        <v>1197</v>
      </c>
      <c r="AL6" s="82">
        <v>1</v>
      </c>
      <c r="AM6" s="60" t="s">
        <v>1197</v>
      </c>
      <c r="AN6" s="82">
        <v>1</v>
      </c>
    </row>
    <row r="7" spans="1:59" ht="45" x14ac:dyDescent="0.25">
      <c r="A7" s="60"/>
      <c r="B7" s="82"/>
      <c r="C7" s="60"/>
      <c r="D7" s="82"/>
      <c r="E7" s="60" t="s">
        <v>1225</v>
      </c>
      <c r="F7" s="82">
        <v>1</v>
      </c>
      <c r="G7" s="60"/>
      <c r="H7" s="82"/>
      <c r="I7" s="60"/>
      <c r="J7" s="82"/>
      <c r="K7" s="60"/>
      <c r="L7" s="82"/>
      <c r="M7" s="60"/>
      <c r="N7" s="82"/>
      <c r="O7" s="60" t="s">
        <v>1189</v>
      </c>
      <c r="P7" s="82">
        <v>1</v>
      </c>
      <c r="Q7" s="60" t="s">
        <v>1227</v>
      </c>
      <c r="R7" s="82">
        <v>1</v>
      </c>
      <c r="S7" s="60" t="s">
        <v>1294</v>
      </c>
      <c r="T7" s="82">
        <v>1</v>
      </c>
      <c r="U7" s="60" t="s">
        <v>1192</v>
      </c>
      <c r="V7" s="82">
        <v>1</v>
      </c>
      <c r="W7" s="60" t="s">
        <v>1297</v>
      </c>
      <c r="X7" s="82">
        <v>1</v>
      </c>
      <c r="Y7" s="60"/>
      <c r="Z7" s="82"/>
      <c r="AA7" s="60" t="s">
        <v>1301</v>
      </c>
      <c r="AB7" s="82">
        <v>1</v>
      </c>
      <c r="AC7" s="60"/>
      <c r="AD7" s="82"/>
      <c r="AE7" s="60"/>
      <c r="AF7" s="82"/>
      <c r="AG7" s="60" t="s">
        <v>1301</v>
      </c>
      <c r="AH7" s="82">
        <v>1</v>
      </c>
      <c r="AI7" s="60"/>
      <c r="AJ7" s="82"/>
      <c r="AK7" s="60" t="s">
        <v>1230</v>
      </c>
      <c r="AL7" s="82">
        <v>1</v>
      </c>
      <c r="AM7" s="60"/>
      <c r="AN7" s="82"/>
    </row>
    <row r="8" spans="1:59" ht="45" x14ac:dyDescent="0.25">
      <c r="B8" s="82"/>
      <c r="D8" s="82"/>
      <c r="F8" s="82"/>
      <c r="H8" s="82"/>
      <c r="J8" s="82"/>
      <c r="L8" s="82"/>
      <c r="N8" s="82"/>
      <c r="O8" s="61" t="s">
        <v>1226</v>
      </c>
      <c r="P8" s="82">
        <v>1</v>
      </c>
      <c r="R8" s="82"/>
      <c r="S8" s="61" t="s">
        <v>1191</v>
      </c>
      <c r="T8" s="82">
        <v>1</v>
      </c>
      <c r="V8" s="82"/>
      <c r="W8" s="61" t="s">
        <v>1155</v>
      </c>
      <c r="X8" s="82">
        <v>1</v>
      </c>
      <c r="Z8" s="82"/>
      <c r="AB8" s="82"/>
      <c r="AD8" s="82"/>
      <c r="AF8" s="82"/>
      <c r="AG8" s="61" t="s">
        <v>1304</v>
      </c>
      <c r="AH8" s="82">
        <v>1</v>
      </c>
      <c r="AJ8" s="82"/>
      <c r="AL8" s="82"/>
      <c r="AN8" s="82"/>
    </row>
    <row r="9" spans="1:59" ht="45" x14ac:dyDescent="0.25">
      <c r="B9" s="82"/>
      <c r="D9" s="82"/>
      <c r="E9" s="60"/>
      <c r="F9" s="82"/>
      <c r="G9" s="60"/>
      <c r="H9" s="82"/>
      <c r="I9" s="60"/>
      <c r="J9" s="82"/>
      <c r="K9" s="60"/>
      <c r="L9" s="82"/>
      <c r="M9" s="60"/>
      <c r="N9" s="82"/>
      <c r="O9" s="60"/>
      <c r="P9" s="82"/>
      <c r="Q9" s="60"/>
      <c r="R9" s="82"/>
      <c r="S9" s="60"/>
      <c r="T9" s="82"/>
      <c r="U9" s="60"/>
      <c r="V9" s="82"/>
      <c r="W9" s="60" t="s">
        <v>1193</v>
      </c>
      <c r="X9" s="82">
        <v>1</v>
      </c>
      <c r="Y9" s="60"/>
      <c r="Z9" s="82"/>
      <c r="AA9" s="60"/>
      <c r="AB9" s="82"/>
      <c r="AC9" s="60"/>
      <c r="AD9" s="82"/>
      <c r="AE9" s="60"/>
      <c r="AF9" s="82"/>
      <c r="AG9" s="60" t="s">
        <v>1196</v>
      </c>
      <c r="AH9" s="82">
        <v>1</v>
      </c>
      <c r="AI9" s="60"/>
      <c r="AJ9" s="82"/>
      <c r="AK9" s="60"/>
      <c r="AL9" s="82"/>
      <c r="AM9" s="60"/>
      <c r="AN9" s="82"/>
    </row>
    <row r="10" spans="1:59" ht="135" x14ac:dyDescent="0.25">
      <c r="B10" s="82"/>
      <c r="C10" s="60"/>
      <c r="D10" s="82"/>
      <c r="F10" s="82"/>
      <c r="G10" s="60"/>
      <c r="H10" s="82"/>
      <c r="I10" s="60"/>
      <c r="J10" s="82"/>
      <c r="K10" s="60"/>
      <c r="L10" s="82"/>
      <c r="M10" s="60"/>
      <c r="N10" s="82"/>
      <c r="O10" s="60"/>
      <c r="P10" s="82"/>
      <c r="Q10" s="60"/>
      <c r="R10" s="82"/>
      <c r="S10" s="60"/>
      <c r="T10" s="82"/>
      <c r="U10" s="60"/>
      <c r="V10" s="82"/>
      <c r="W10" s="60" t="s">
        <v>1228</v>
      </c>
      <c r="X10" s="82">
        <v>1</v>
      </c>
      <c r="Y10" s="60"/>
      <c r="Z10" s="82"/>
      <c r="AA10" s="60"/>
      <c r="AB10" s="82"/>
      <c r="AC10" s="60"/>
      <c r="AD10" s="82"/>
      <c r="AE10" s="60"/>
      <c r="AF10" s="82"/>
      <c r="AG10" s="60" t="s">
        <v>1229</v>
      </c>
      <c r="AH10" s="82">
        <v>1</v>
      </c>
      <c r="AI10" s="60"/>
      <c r="AJ10" s="82"/>
      <c r="AK10" s="60"/>
      <c r="AL10" s="82"/>
      <c r="AM10" s="60"/>
      <c r="AN10" s="82"/>
    </row>
    <row r="11" spans="1:59" x14ac:dyDescent="0.25">
      <c r="B11" s="82"/>
      <c r="C11" s="60"/>
      <c r="D11" s="82"/>
      <c r="F11" s="82"/>
      <c r="G11" s="60"/>
      <c r="H11" s="82"/>
      <c r="I11" s="60"/>
      <c r="J11" s="82"/>
      <c r="K11" s="60"/>
      <c r="L11" s="82"/>
      <c r="M11" s="60"/>
      <c r="N11" s="82"/>
      <c r="O11" s="60"/>
      <c r="P11" s="82"/>
      <c r="Q11" s="60"/>
      <c r="R11" s="82"/>
      <c r="S11" s="60"/>
      <c r="T11" s="60"/>
      <c r="U11" s="60"/>
      <c r="V11" s="82"/>
      <c r="W11" s="60"/>
      <c r="X11" s="82"/>
      <c r="Y11" s="60"/>
      <c r="Z11" s="82"/>
      <c r="AA11" s="60"/>
      <c r="AB11" s="82"/>
      <c r="AC11" s="60"/>
      <c r="AD11" s="82"/>
      <c r="AE11" s="60"/>
      <c r="AF11" s="82"/>
      <c r="AG11" s="60"/>
      <c r="AH11" s="82"/>
      <c r="AI11" s="60"/>
      <c r="AJ11" s="82"/>
      <c r="AK11" s="60"/>
      <c r="AL11" s="82"/>
      <c r="AM11" s="60"/>
      <c r="AN11" s="82"/>
    </row>
    <row r="12" spans="1:59" x14ac:dyDescent="0.25">
      <c r="A12" s="63"/>
      <c r="B12" s="83"/>
      <c r="C12" s="63"/>
      <c r="D12" s="83"/>
      <c r="E12" s="63"/>
      <c r="F12" s="83"/>
      <c r="G12" s="63"/>
      <c r="H12" s="83"/>
      <c r="I12" s="63"/>
      <c r="J12" s="83"/>
      <c r="K12" s="63"/>
      <c r="L12" s="83"/>
      <c r="M12" s="63"/>
      <c r="N12" s="83"/>
      <c r="O12" s="63"/>
      <c r="P12" s="83"/>
      <c r="Q12" s="63"/>
      <c r="R12" s="83"/>
      <c r="S12" s="63"/>
      <c r="T12" s="63"/>
      <c r="U12" s="84"/>
      <c r="V12" s="83"/>
      <c r="W12" s="63"/>
      <c r="X12" s="83"/>
      <c r="Y12" s="63"/>
      <c r="Z12" s="83"/>
      <c r="AA12" s="63"/>
      <c r="AB12" s="83"/>
      <c r="AC12" s="63"/>
      <c r="AD12" s="83"/>
      <c r="AE12" s="63"/>
      <c r="AF12" s="83"/>
      <c r="AG12" s="63"/>
      <c r="AH12" s="83"/>
      <c r="AI12" s="63"/>
      <c r="AJ12" s="83"/>
      <c r="AK12" s="63"/>
      <c r="AL12" s="83"/>
      <c r="AM12" s="63"/>
      <c r="AN12" s="83"/>
    </row>
    <row r="14" spans="1:59" x14ac:dyDescent="0.25">
      <c r="AO14" s="60"/>
      <c r="AP14" s="60"/>
      <c r="AQ14" s="60"/>
      <c r="AR14" s="60"/>
      <c r="AS14" s="60"/>
      <c r="AT14" s="60"/>
      <c r="AU14" s="60"/>
    </row>
    <row r="15" spans="1:59" x14ac:dyDescent="0.25">
      <c r="A15" s="135">
        <v>21</v>
      </c>
      <c r="B15" s="135"/>
      <c r="C15" s="135">
        <f>A15+1</f>
        <v>22</v>
      </c>
      <c r="D15" s="135"/>
      <c r="E15" s="135">
        <f t="shared" ref="E15" si="18">C15+1</f>
        <v>23</v>
      </c>
      <c r="F15" s="135"/>
      <c r="G15" s="135">
        <f t="shared" ref="G15" si="19">E15+1</f>
        <v>24</v>
      </c>
      <c r="H15" s="135"/>
      <c r="I15" s="135">
        <f t="shared" ref="I15" si="20">G15+1</f>
        <v>25</v>
      </c>
      <c r="J15" s="135"/>
      <c r="K15" s="135">
        <f t="shared" ref="K15" si="21">I15+1</f>
        <v>26</v>
      </c>
      <c r="L15" s="135"/>
      <c r="M15" s="135">
        <f t="shared" ref="M15" si="22">K15+1</f>
        <v>27</v>
      </c>
      <c r="N15" s="135"/>
      <c r="O15" s="135">
        <f t="shared" ref="O15" si="23">M15+1</f>
        <v>28</v>
      </c>
      <c r="P15" s="135"/>
      <c r="Q15" s="135">
        <f t="shared" ref="Q15" si="24">O15+1</f>
        <v>29</v>
      </c>
      <c r="R15" s="135"/>
      <c r="S15" s="135">
        <f t="shared" ref="S15" si="25">Q15+1</f>
        <v>30</v>
      </c>
      <c r="T15" s="135"/>
      <c r="U15" s="135">
        <f t="shared" ref="U15" si="26">S15+1</f>
        <v>31</v>
      </c>
      <c r="V15" s="135"/>
      <c r="W15" s="135">
        <f t="shared" ref="W15" si="27">U15+1</f>
        <v>32</v>
      </c>
      <c r="X15" s="135"/>
      <c r="Y15" s="135">
        <f t="shared" ref="Y15" si="28">W15+1</f>
        <v>33</v>
      </c>
      <c r="Z15" s="135"/>
      <c r="AA15" s="135">
        <f t="shared" ref="AA15" si="29">Y15+1</f>
        <v>34</v>
      </c>
      <c r="AB15" s="135"/>
      <c r="AC15" s="135">
        <f t="shared" ref="AC15" si="30">AA15+1</f>
        <v>35</v>
      </c>
      <c r="AD15" s="135"/>
      <c r="AE15" s="135">
        <f t="shared" ref="AE15" si="31">AC15+1</f>
        <v>36</v>
      </c>
      <c r="AF15" s="135"/>
      <c r="AG15" s="135">
        <f t="shared" ref="AG15" si="32">AE15+1</f>
        <v>37</v>
      </c>
      <c r="AH15" s="135"/>
      <c r="AI15" s="135">
        <f t="shared" ref="AI15" si="33">AG15+1</f>
        <v>38</v>
      </c>
      <c r="AJ15" s="135"/>
      <c r="AK15" s="135">
        <f t="shared" ref="AK15" si="34">AI15+1</f>
        <v>39</v>
      </c>
      <c r="AL15" s="135"/>
      <c r="AM15" s="135">
        <f t="shared" ref="AM15" si="35">AK15+1</f>
        <v>40</v>
      </c>
      <c r="AN15" s="135"/>
      <c r="AO15" s="60"/>
      <c r="AP15" s="60"/>
      <c r="AQ15" s="60"/>
      <c r="AR15" s="60"/>
      <c r="AS15" s="60"/>
      <c r="AT15" s="60"/>
      <c r="AU15" s="60"/>
    </row>
    <row r="16" spans="1:59" ht="120" x14ac:dyDescent="0.25">
      <c r="A16" s="60" t="s">
        <v>1305</v>
      </c>
      <c r="B16" s="82">
        <v>1</v>
      </c>
      <c r="C16" s="60" t="s">
        <v>1309</v>
      </c>
      <c r="D16" s="82">
        <v>1</v>
      </c>
      <c r="E16" s="60" t="s">
        <v>1310</v>
      </c>
      <c r="F16" s="82">
        <v>1</v>
      </c>
      <c r="G16" s="60"/>
      <c r="H16" s="82"/>
      <c r="I16" s="60" t="s">
        <v>1200</v>
      </c>
      <c r="J16" s="82">
        <v>1</v>
      </c>
      <c r="K16" s="60" t="s">
        <v>1311</v>
      </c>
      <c r="L16" s="82">
        <v>1</v>
      </c>
      <c r="M16" s="60"/>
      <c r="N16" s="82"/>
      <c r="O16" s="60" t="s">
        <v>1201</v>
      </c>
      <c r="P16" s="82">
        <v>1</v>
      </c>
      <c r="Q16" s="60" t="s">
        <v>1201</v>
      </c>
      <c r="R16" s="82">
        <v>1</v>
      </c>
      <c r="S16" s="60" t="s">
        <v>1201</v>
      </c>
      <c r="T16" s="82">
        <v>1</v>
      </c>
      <c r="U16" s="60" t="s">
        <v>1202</v>
      </c>
      <c r="V16" s="82">
        <v>1</v>
      </c>
      <c r="W16" s="60" t="s">
        <v>1202</v>
      </c>
      <c r="X16" s="82">
        <v>1</v>
      </c>
      <c r="Y16" s="60" t="s">
        <v>1202</v>
      </c>
      <c r="Z16" s="82">
        <v>1</v>
      </c>
      <c r="AA16" s="60" t="s">
        <v>1314</v>
      </c>
      <c r="AB16" s="82">
        <v>1</v>
      </c>
      <c r="AC16" s="60" t="s">
        <v>1203</v>
      </c>
      <c r="AD16" s="82">
        <v>1</v>
      </c>
      <c r="AE16" s="60" t="s">
        <v>1203</v>
      </c>
      <c r="AF16" s="82">
        <v>1</v>
      </c>
      <c r="AG16" s="60" t="s">
        <v>1203</v>
      </c>
      <c r="AH16" s="82">
        <v>1</v>
      </c>
      <c r="AI16" s="60" t="s">
        <v>1203</v>
      </c>
      <c r="AJ16" s="82">
        <v>1</v>
      </c>
      <c r="AK16" s="60" t="s">
        <v>1317</v>
      </c>
      <c r="AL16" s="82">
        <v>1</v>
      </c>
      <c r="AM16" s="60" t="s">
        <v>1205</v>
      </c>
      <c r="AN16" s="82">
        <v>1</v>
      </c>
      <c r="AO16" s="60"/>
      <c r="AP16" s="60"/>
      <c r="AQ16" s="60"/>
      <c r="AR16" s="60"/>
      <c r="AS16" s="60"/>
      <c r="AT16" s="60"/>
      <c r="AU16" s="60"/>
    </row>
    <row r="17" spans="1:47" ht="120" x14ac:dyDescent="0.25">
      <c r="A17" s="60" t="s">
        <v>1306</v>
      </c>
      <c r="B17" s="82">
        <v>1</v>
      </c>
      <c r="C17" s="60" t="s">
        <v>1310</v>
      </c>
      <c r="D17" s="82">
        <v>1</v>
      </c>
      <c r="E17" s="60" t="s">
        <v>1199</v>
      </c>
      <c r="F17" s="82">
        <v>1</v>
      </c>
      <c r="G17" s="60"/>
      <c r="H17" s="82"/>
      <c r="I17" s="60"/>
      <c r="J17" s="82"/>
      <c r="K17" s="60" t="s">
        <v>1132</v>
      </c>
      <c r="L17" s="82">
        <v>1</v>
      </c>
      <c r="M17" s="60"/>
      <c r="N17" s="82"/>
      <c r="O17" s="60" t="s">
        <v>1312</v>
      </c>
      <c r="P17" s="82">
        <v>1</v>
      </c>
      <c r="Q17" s="60"/>
      <c r="R17" s="82"/>
      <c r="S17" s="60" t="s">
        <v>1313</v>
      </c>
      <c r="T17" s="82">
        <v>1</v>
      </c>
      <c r="U17" s="60"/>
      <c r="V17" s="82"/>
      <c r="W17" s="60"/>
      <c r="X17" s="82"/>
      <c r="Y17" s="60" t="s">
        <v>1314</v>
      </c>
      <c r="Z17" s="82">
        <v>1</v>
      </c>
      <c r="AA17" s="60" t="s">
        <v>1203</v>
      </c>
      <c r="AB17" s="82">
        <v>1</v>
      </c>
      <c r="AC17" s="60" t="s">
        <v>1316</v>
      </c>
      <c r="AD17" s="82">
        <v>1</v>
      </c>
      <c r="AE17" s="60"/>
      <c r="AF17" s="82"/>
      <c r="AG17" s="60" t="s">
        <v>1317</v>
      </c>
      <c r="AH17" s="82">
        <v>1</v>
      </c>
      <c r="AI17" s="60" t="s">
        <v>1317</v>
      </c>
      <c r="AJ17" s="82">
        <v>1</v>
      </c>
      <c r="AK17" s="60" t="s">
        <v>1205</v>
      </c>
      <c r="AL17" s="82">
        <v>1</v>
      </c>
      <c r="AM17" s="60" t="s">
        <v>1319</v>
      </c>
      <c r="AN17" s="82">
        <v>1</v>
      </c>
      <c r="AO17" s="60"/>
      <c r="AP17" s="60"/>
      <c r="AQ17" s="60"/>
      <c r="AR17" s="60"/>
      <c r="AS17" s="60"/>
      <c r="AT17" s="60"/>
      <c r="AU17" s="60"/>
    </row>
    <row r="18" spans="1:47" ht="45" x14ac:dyDescent="0.25">
      <c r="A18" s="60" t="s">
        <v>1307</v>
      </c>
      <c r="B18" s="82">
        <v>1</v>
      </c>
      <c r="C18" s="60" t="s">
        <v>1133</v>
      </c>
      <c r="D18" s="82">
        <v>1</v>
      </c>
      <c r="E18" s="60"/>
      <c r="F18" s="82"/>
      <c r="G18" s="60"/>
      <c r="H18" s="82"/>
      <c r="I18" s="60"/>
      <c r="J18" s="82"/>
      <c r="K18" s="60"/>
      <c r="L18" s="82"/>
      <c r="M18" s="60"/>
      <c r="N18" s="82"/>
      <c r="O18" s="60"/>
      <c r="P18" s="82"/>
      <c r="Q18" s="60"/>
      <c r="R18" s="82"/>
      <c r="S18" s="60"/>
      <c r="T18" s="82"/>
      <c r="U18" s="60"/>
      <c r="V18" s="82"/>
      <c r="W18" s="60"/>
      <c r="X18" s="82"/>
      <c r="Y18" s="60"/>
      <c r="Z18" s="82"/>
      <c r="AA18" s="60" t="s">
        <v>1315</v>
      </c>
      <c r="AB18" s="82">
        <v>1</v>
      </c>
      <c r="AC18" s="60"/>
      <c r="AD18" s="82"/>
      <c r="AE18" s="60"/>
      <c r="AF18" s="82"/>
      <c r="AG18" s="60"/>
      <c r="AH18" s="82"/>
      <c r="AI18" s="60"/>
      <c r="AJ18" s="82"/>
      <c r="AK18" s="60" t="s">
        <v>1318</v>
      </c>
      <c r="AL18" s="82">
        <v>1</v>
      </c>
      <c r="AM18" s="60"/>
      <c r="AN18" s="82"/>
      <c r="AO18" s="60"/>
      <c r="AP18" s="60"/>
      <c r="AQ18" s="60"/>
      <c r="AR18" s="60"/>
      <c r="AS18" s="60"/>
      <c r="AT18" s="60"/>
      <c r="AU18" s="60"/>
    </row>
    <row r="19" spans="1:47" ht="45" x14ac:dyDescent="0.25">
      <c r="A19" s="60" t="s">
        <v>1308</v>
      </c>
      <c r="B19" s="82">
        <v>1</v>
      </c>
      <c r="C19" s="60" t="s">
        <v>1199</v>
      </c>
      <c r="D19" s="82">
        <v>1</v>
      </c>
      <c r="E19" s="60"/>
      <c r="F19" s="82"/>
      <c r="G19" s="60"/>
      <c r="H19" s="82"/>
      <c r="I19" s="60"/>
      <c r="J19" s="82"/>
      <c r="K19" s="60"/>
      <c r="L19" s="82"/>
      <c r="M19" s="60"/>
      <c r="N19" s="82"/>
      <c r="O19" s="60"/>
      <c r="P19" s="82"/>
      <c r="Q19" s="60"/>
      <c r="R19" s="82"/>
      <c r="S19" s="60"/>
      <c r="T19" s="82"/>
      <c r="U19" s="60"/>
      <c r="V19" s="82"/>
      <c r="W19" s="60"/>
      <c r="X19" s="82"/>
      <c r="Y19" s="60"/>
      <c r="Z19" s="82"/>
      <c r="AA19" s="60"/>
      <c r="AB19" s="82"/>
      <c r="AC19" s="60"/>
      <c r="AD19" s="82"/>
      <c r="AE19" s="60"/>
      <c r="AF19" s="82"/>
      <c r="AG19" s="60"/>
      <c r="AH19" s="82"/>
      <c r="AI19" s="60"/>
      <c r="AJ19" s="82"/>
      <c r="AK19" s="60"/>
      <c r="AL19" s="82"/>
      <c r="AM19" s="60"/>
      <c r="AN19" s="82"/>
      <c r="AO19" s="60"/>
      <c r="AP19" s="60"/>
      <c r="AQ19" s="60"/>
      <c r="AR19" s="60"/>
      <c r="AS19" s="60"/>
      <c r="AT19" s="60"/>
      <c r="AU19" s="60"/>
    </row>
    <row r="20" spans="1:47" ht="30" x14ac:dyDescent="0.25">
      <c r="A20" s="61" t="s">
        <v>1198</v>
      </c>
      <c r="B20" s="82">
        <v>1</v>
      </c>
      <c r="D20" s="82"/>
      <c r="E20" s="60"/>
      <c r="F20" s="82"/>
      <c r="G20" s="60"/>
      <c r="H20" s="82"/>
      <c r="I20" s="60"/>
      <c r="J20" s="82"/>
      <c r="K20" s="60"/>
      <c r="L20" s="82"/>
      <c r="M20" s="60"/>
      <c r="N20" s="82"/>
      <c r="O20" s="60"/>
      <c r="P20" s="82"/>
      <c r="Q20" s="60"/>
      <c r="R20" s="82"/>
      <c r="S20" s="60"/>
      <c r="T20" s="82"/>
      <c r="U20" s="60"/>
      <c r="V20" s="82"/>
      <c r="W20" s="60"/>
      <c r="X20" s="82"/>
      <c r="Y20" s="60"/>
      <c r="Z20" s="82"/>
      <c r="AA20" s="60"/>
      <c r="AB20" s="82"/>
      <c r="AC20" s="60"/>
      <c r="AD20" s="82"/>
      <c r="AE20" s="60"/>
      <c r="AF20" s="82"/>
      <c r="AG20" s="60"/>
      <c r="AH20" s="82"/>
      <c r="AI20" s="60"/>
      <c r="AJ20" s="82"/>
      <c r="AK20" s="60"/>
      <c r="AL20" s="82"/>
      <c r="AM20" s="60"/>
      <c r="AN20" s="82"/>
      <c r="AO20" s="60"/>
      <c r="AP20" s="60"/>
      <c r="AQ20" s="60"/>
      <c r="AR20" s="60"/>
      <c r="AS20" s="60"/>
      <c r="AT20" s="60"/>
      <c r="AU20" s="60"/>
    </row>
    <row r="21" spans="1:47" ht="150" x14ac:dyDescent="0.25">
      <c r="A21" s="60" t="s">
        <v>1231</v>
      </c>
      <c r="B21" s="82">
        <v>1</v>
      </c>
      <c r="C21" s="60"/>
      <c r="D21" s="82"/>
      <c r="E21" s="60"/>
      <c r="F21" s="82"/>
      <c r="G21" s="60"/>
      <c r="H21" s="82"/>
      <c r="I21" s="60"/>
      <c r="J21" s="82"/>
      <c r="K21" s="60"/>
      <c r="L21" s="82"/>
      <c r="M21" s="60"/>
      <c r="N21" s="82"/>
      <c r="O21" s="60"/>
      <c r="P21" s="82"/>
      <c r="Q21" s="60"/>
      <c r="R21" s="82"/>
      <c r="S21" s="60"/>
      <c r="T21" s="82"/>
      <c r="U21" s="60"/>
      <c r="V21" s="82"/>
      <c r="W21" s="60"/>
      <c r="X21" s="82"/>
      <c r="Y21" s="60"/>
      <c r="Z21" s="82"/>
      <c r="AA21" s="60"/>
      <c r="AB21" s="82"/>
      <c r="AC21" s="60"/>
      <c r="AD21" s="82"/>
      <c r="AE21" s="60"/>
      <c r="AF21" s="82"/>
      <c r="AG21" s="60"/>
      <c r="AH21" s="82"/>
      <c r="AI21" s="60"/>
      <c r="AJ21" s="82"/>
      <c r="AK21" s="60"/>
      <c r="AL21" s="82"/>
      <c r="AM21" s="60"/>
      <c r="AN21" s="82"/>
      <c r="AO21" s="60"/>
      <c r="AP21" s="60"/>
      <c r="AQ21" s="60"/>
      <c r="AR21" s="60"/>
      <c r="AS21" s="60"/>
      <c r="AT21" s="60"/>
      <c r="AU21" s="60"/>
    </row>
    <row r="22" spans="1:47" x14ac:dyDescent="0.25">
      <c r="A22" s="60"/>
      <c r="B22" s="82"/>
      <c r="C22" s="60"/>
      <c r="D22" s="82"/>
      <c r="E22" s="60"/>
      <c r="F22" s="82"/>
      <c r="G22" s="60"/>
      <c r="H22" s="82"/>
      <c r="I22" s="60"/>
      <c r="J22" s="82"/>
      <c r="K22" s="60"/>
      <c r="L22" s="82"/>
      <c r="M22" s="60"/>
      <c r="N22" s="82"/>
      <c r="O22" s="60"/>
      <c r="P22" s="82"/>
      <c r="Q22" s="60"/>
      <c r="R22" s="82"/>
      <c r="S22" s="60"/>
      <c r="T22" s="82"/>
      <c r="U22" s="60"/>
      <c r="V22" s="82"/>
      <c r="W22" s="60"/>
      <c r="X22" s="82"/>
      <c r="Y22" s="60"/>
      <c r="Z22" s="82"/>
      <c r="AA22" s="60"/>
      <c r="AB22" s="82"/>
      <c r="AC22" s="60"/>
      <c r="AD22" s="82"/>
      <c r="AE22" s="60"/>
      <c r="AF22" s="82"/>
      <c r="AG22" s="60"/>
      <c r="AH22" s="82"/>
      <c r="AI22" s="60"/>
      <c r="AJ22" s="82"/>
      <c r="AK22" s="60"/>
      <c r="AL22" s="82"/>
      <c r="AM22" s="60"/>
      <c r="AN22" s="82"/>
      <c r="AO22" s="60"/>
      <c r="AP22" s="60"/>
      <c r="AQ22" s="60"/>
      <c r="AR22" s="60"/>
      <c r="AS22" s="60"/>
      <c r="AT22" s="60"/>
      <c r="AU22" s="60"/>
    </row>
    <row r="23" spans="1:47" x14ac:dyDescent="0.25">
      <c r="A23" s="63"/>
      <c r="B23" s="83"/>
      <c r="C23" s="63"/>
      <c r="D23" s="83"/>
      <c r="E23" s="63"/>
      <c r="F23" s="83"/>
      <c r="G23" s="63"/>
      <c r="H23" s="83"/>
      <c r="I23" s="63"/>
      <c r="J23" s="83"/>
      <c r="K23" s="63"/>
      <c r="L23" s="83"/>
      <c r="M23" s="63"/>
      <c r="N23" s="83"/>
      <c r="O23" s="63"/>
      <c r="P23" s="83"/>
      <c r="Q23" s="63"/>
      <c r="R23" s="83"/>
      <c r="S23" s="63"/>
      <c r="T23" s="83"/>
      <c r="U23" s="63"/>
      <c r="V23" s="83"/>
      <c r="W23" s="63"/>
      <c r="X23" s="83"/>
      <c r="Y23" s="63"/>
      <c r="Z23" s="83"/>
      <c r="AA23" s="63"/>
      <c r="AB23" s="83"/>
      <c r="AC23" s="63"/>
      <c r="AD23" s="83"/>
      <c r="AE23" s="63"/>
      <c r="AF23" s="83"/>
      <c r="AG23" s="63"/>
      <c r="AH23" s="83"/>
      <c r="AI23" s="63"/>
      <c r="AJ23" s="83"/>
      <c r="AK23" s="63"/>
      <c r="AL23" s="83"/>
      <c r="AM23" s="63"/>
      <c r="AN23" s="83"/>
      <c r="AO23" s="60"/>
      <c r="AP23" s="60"/>
      <c r="AQ23" s="60"/>
      <c r="AR23" s="60"/>
      <c r="AS23" s="60"/>
      <c r="AT23" s="60"/>
      <c r="AU23" s="60"/>
    </row>
    <row r="24" spans="1:47" x14ac:dyDescent="0.25">
      <c r="AO24" s="60"/>
      <c r="AP24" s="60"/>
      <c r="AQ24" s="60"/>
      <c r="AR24" s="60"/>
      <c r="AS24" s="60"/>
      <c r="AT24" s="60"/>
      <c r="AU24" s="60"/>
    </row>
    <row r="25" spans="1:47" x14ac:dyDescent="0.25">
      <c r="AO25" s="60"/>
      <c r="AP25" s="60"/>
      <c r="AQ25" s="60"/>
      <c r="AR25" s="60"/>
      <c r="AS25" s="60"/>
      <c r="AT25" s="60"/>
      <c r="AU25" s="60"/>
    </row>
    <row r="26" spans="1:47" x14ac:dyDescent="0.25">
      <c r="A26" s="135">
        <v>41</v>
      </c>
      <c r="B26" s="135"/>
      <c r="C26" s="135">
        <f>A26+1</f>
        <v>42</v>
      </c>
      <c r="D26" s="135"/>
      <c r="E26" s="135">
        <f t="shared" ref="E26" si="36">C26+1</f>
        <v>43</v>
      </c>
      <c r="F26" s="135"/>
      <c r="G26" s="135">
        <f t="shared" ref="G26" si="37">E26+1</f>
        <v>44</v>
      </c>
      <c r="H26" s="135"/>
      <c r="I26" s="135">
        <f t="shared" ref="I26" si="38">G26+1</f>
        <v>45</v>
      </c>
      <c r="J26" s="135"/>
      <c r="K26" s="135">
        <f t="shared" ref="K26" si="39">I26+1</f>
        <v>46</v>
      </c>
      <c r="L26" s="135"/>
      <c r="M26" s="135">
        <f t="shared" ref="M26" si="40">K26+1</f>
        <v>47</v>
      </c>
      <c r="N26" s="135"/>
      <c r="O26" s="135">
        <f t="shared" ref="O26" si="41">M26+1</f>
        <v>48</v>
      </c>
      <c r="P26" s="135"/>
      <c r="Q26" s="135">
        <f t="shared" ref="Q26" si="42">O26+1</f>
        <v>49</v>
      </c>
      <c r="R26" s="135"/>
      <c r="S26" s="135">
        <f t="shared" ref="S26" si="43">Q26+1</f>
        <v>50</v>
      </c>
      <c r="T26" s="135"/>
      <c r="U26" s="135">
        <f t="shared" ref="U26" si="44">S26+1</f>
        <v>51</v>
      </c>
      <c r="V26" s="135"/>
      <c r="W26" s="135">
        <f t="shared" ref="W26" si="45">U26+1</f>
        <v>52</v>
      </c>
      <c r="X26" s="135"/>
      <c r="Y26" s="135">
        <f t="shared" ref="Y26" si="46">W26+1</f>
        <v>53</v>
      </c>
      <c r="Z26" s="135"/>
      <c r="AA26" s="135">
        <f t="shared" ref="AA26" si="47">Y26+1</f>
        <v>54</v>
      </c>
      <c r="AB26" s="135"/>
      <c r="AC26" s="135">
        <f t="shared" ref="AC26" si="48">AA26+1</f>
        <v>55</v>
      </c>
      <c r="AD26" s="135"/>
      <c r="AE26" s="135">
        <f t="shared" ref="AE26" si="49">AC26+1</f>
        <v>56</v>
      </c>
      <c r="AF26" s="135"/>
      <c r="AG26" s="135">
        <f t="shared" ref="AG26" si="50">AE26+1</f>
        <v>57</v>
      </c>
      <c r="AH26" s="135"/>
      <c r="AI26" s="135">
        <f t="shared" ref="AI26" si="51">AG26+1</f>
        <v>58</v>
      </c>
      <c r="AJ26" s="135"/>
      <c r="AK26" s="135">
        <f t="shared" ref="AK26" si="52">AI26+1</f>
        <v>59</v>
      </c>
      <c r="AL26" s="135"/>
      <c r="AM26" s="135">
        <f t="shared" ref="AM26" si="53">AK26+1</f>
        <v>60</v>
      </c>
      <c r="AN26" s="135"/>
      <c r="AO26" s="60"/>
      <c r="AP26" s="60"/>
      <c r="AQ26" s="60"/>
      <c r="AR26" s="60"/>
      <c r="AS26" s="60"/>
      <c r="AT26" s="60"/>
      <c r="AU26" s="60"/>
    </row>
    <row r="27" spans="1:47" ht="120" x14ac:dyDescent="0.25">
      <c r="A27" s="60" t="s">
        <v>1320</v>
      </c>
      <c r="B27" s="82">
        <v>1</v>
      </c>
      <c r="C27" s="60" t="s">
        <v>1320</v>
      </c>
      <c r="D27" s="82">
        <v>1</v>
      </c>
      <c r="E27" s="60" t="s">
        <v>1205</v>
      </c>
      <c r="F27" s="82">
        <v>1</v>
      </c>
      <c r="G27" s="60" t="s">
        <v>1205</v>
      </c>
      <c r="H27" s="82">
        <v>1</v>
      </c>
      <c r="I27" s="60" t="s">
        <v>1205</v>
      </c>
      <c r="J27" s="82">
        <v>1</v>
      </c>
      <c r="K27" s="60" t="s">
        <v>1205</v>
      </c>
      <c r="L27" s="82">
        <v>1</v>
      </c>
      <c r="M27" s="60" t="s">
        <v>1205</v>
      </c>
      <c r="N27" s="82">
        <v>1</v>
      </c>
      <c r="O27" s="60" t="s">
        <v>1326</v>
      </c>
      <c r="P27" s="82">
        <v>1</v>
      </c>
      <c r="Q27" s="60" t="s">
        <v>1326</v>
      </c>
      <c r="R27" s="82">
        <v>1</v>
      </c>
      <c r="S27" s="60" t="s">
        <v>1326</v>
      </c>
      <c r="T27" s="82">
        <v>1</v>
      </c>
      <c r="U27" s="60" t="s">
        <v>1326</v>
      </c>
      <c r="V27" s="82">
        <v>1</v>
      </c>
      <c r="W27" s="60" t="s">
        <v>1327</v>
      </c>
      <c r="X27" s="82">
        <v>1</v>
      </c>
      <c r="Y27" s="60" t="s">
        <v>1327</v>
      </c>
      <c r="Z27" s="82">
        <v>1</v>
      </c>
      <c r="AA27" s="60" t="s">
        <v>1327</v>
      </c>
      <c r="AB27" s="82">
        <v>1</v>
      </c>
      <c r="AC27" s="60" t="s">
        <v>1327</v>
      </c>
      <c r="AD27" s="82">
        <v>1</v>
      </c>
      <c r="AE27" s="60" t="s">
        <v>1327</v>
      </c>
      <c r="AF27" s="82">
        <v>1</v>
      </c>
      <c r="AG27" s="60" t="s">
        <v>1208</v>
      </c>
      <c r="AH27" s="82">
        <v>1</v>
      </c>
      <c r="AI27" s="60" t="s">
        <v>1208</v>
      </c>
      <c r="AJ27" s="82">
        <v>1</v>
      </c>
      <c r="AK27" s="60" t="s">
        <v>1332</v>
      </c>
      <c r="AL27" s="82">
        <v>1</v>
      </c>
      <c r="AM27" s="60" t="s">
        <v>1332</v>
      </c>
      <c r="AN27" s="82">
        <v>1</v>
      </c>
      <c r="AO27" s="60"/>
      <c r="AP27" s="60"/>
      <c r="AQ27" s="60"/>
      <c r="AR27" s="60"/>
      <c r="AS27" s="60"/>
      <c r="AT27" s="60"/>
      <c r="AU27" s="60"/>
    </row>
    <row r="28" spans="1:47" ht="180" x14ac:dyDescent="0.25">
      <c r="A28" s="60" t="s">
        <v>1321</v>
      </c>
      <c r="B28" s="82">
        <v>1</v>
      </c>
      <c r="C28" s="60" t="s">
        <v>1205</v>
      </c>
      <c r="D28" s="82">
        <v>1</v>
      </c>
      <c r="E28" s="60" t="s">
        <v>1232</v>
      </c>
      <c r="F28" s="82">
        <v>1</v>
      </c>
      <c r="G28" s="60" t="s">
        <v>1232</v>
      </c>
      <c r="H28" s="82">
        <v>1</v>
      </c>
      <c r="I28" s="60" t="s">
        <v>1324</v>
      </c>
      <c r="J28" s="82">
        <v>1</v>
      </c>
      <c r="K28" s="60"/>
      <c r="L28" s="82"/>
      <c r="M28" s="60" t="s">
        <v>1326</v>
      </c>
      <c r="N28" s="82">
        <v>1</v>
      </c>
      <c r="O28" s="60"/>
      <c r="P28" s="82"/>
      <c r="Q28" s="60" t="s">
        <v>1207</v>
      </c>
      <c r="R28" s="82">
        <v>1</v>
      </c>
      <c r="S28" s="60" t="s">
        <v>1207</v>
      </c>
      <c r="T28" s="82">
        <v>1</v>
      </c>
      <c r="U28" s="60" t="s">
        <v>1207</v>
      </c>
      <c r="V28" s="82">
        <v>1</v>
      </c>
      <c r="W28" s="60" t="s">
        <v>1207</v>
      </c>
      <c r="X28" s="82">
        <v>1</v>
      </c>
      <c r="Y28" s="60" t="s">
        <v>1207</v>
      </c>
      <c r="Z28" s="82">
        <v>1</v>
      </c>
      <c r="AA28" s="60" t="s">
        <v>1207</v>
      </c>
      <c r="AB28" s="82">
        <v>1</v>
      </c>
      <c r="AC28" s="60" t="s">
        <v>1207</v>
      </c>
      <c r="AD28" s="82">
        <v>1</v>
      </c>
      <c r="AE28" s="60" t="s">
        <v>1330</v>
      </c>
      <c r="AF28" s="82">
        <v>1</v>
      </c>
      <c r="AG28" s="60"/>
      <c r="AH28" s="82"/>
      <c r="AI28" s="60" t="s">
        <v>1331</v>
      </c>
      <c r="AJ28" s="82">
        <v>1</v>
      </c>
      <c r="AK28" s="60"/>
      <c r="AL28" s="82"/>
      <c r="AM28" s="60" t="s">
        <v>1209</v>
      </c>
      <c r="AN28" s="82">
        <v>1</v>
      </c>
      <c r="AO28" s="60"/>
      <c r="AP28" s="60"/>
      <c r="AQ28" s="60"/>
      <c r="AR28" s="60"/>
      <c r="AS28" s="60"/>
      <c r="AT28" s="60"/>
      <c r="AU28" s="60"/>
    </row>
    <row r="29" spans="1:47" ht="180" x14ac:dyDescent="0.25">
      <c r="A29" s="60" t="s">
        <v>1206</v>
      </c>
      <c r="B29" s="82">
        <v>1</v>
      </c>
      <c r="C29" s="60" t="s">
        <v>1232</v>
      </c>
      <c r="D29" s="82">
        <v>1</v>
      </c>
      <c r="E29" s="60" t="s">
        <v>1322</v>
      </c>
      <c r="F29" s="82">
        <v>1</v>
      </c>
      <c r="G29" s="60" t="s">
        <v>1324</v>
      </c>
      <c r="H29" s="82">
        <v>1</v>
      </c>
      <c r="I29" s="60" t="s">
        <v>1325</v>
      </c>
      <c r="J29" s="82">
        <v>1</v>
      </c>
      <c r="K29" s="60"/>
      <c r="L29" s="82"/>
      <c r="M29" s="60" t="s">
        <v>1233</v>
      </c>
      <c r="N29" s="82">
        <v>1</v>
      </c>
      <c r="O29" s="60"/>
      <c r="P29" s="82"/>
      <c r="Q29" s="60"/>
      <c r="R29" s="82"/>
      <c r="S29" s="60" t="s">
        <v>1328</v>
      </c>
      <c r="T29" s="82">
        <v>1</v>
      </c>
      <c r="U29" s="60" t="s">
        <v>1156</v>
      </c>
      <c r="V29" s="82">
        <v>1</v>
      </c>
      <c r="W29" s="60"/>
      <c r="X29" s="82"/>
      <c r="Y29" s="60"/>
      <c r="Z29" s="82"/>
      <c r="AA29" s="60"/>
      <c r="AB29" s="82"/>
      <c r="AC29" s="60" t="s">
        <v>1329</v>
      </c>
      <c r="AD29" s="82">
        <v>1</v>
      </c>
      <c r="AE29" s="60"/>
      <c r="AF29" s="82"/>
      <c r="AG29" s="60"/>
      <c r="AH29" s="82"/>
      <c r="AI29" s="60"/>
      <c r="AJ29" s="82"/>
      <c r="AK29" s="60"/>
      <c r="AL29" s="82"/>
      <c r="AM29" s="60"/>
      <c r="AN29" s="82"/>
      <c r="AO29" s="60"/>
      <c r="AP29" s="60"/>
      <c r="AQ29" s="60"/>
      <c r="AR29" s="60"/>
      <c r="AS29" s="60"/>
      <c r="AT29" s="60"/>
      <c r="AU29" s="60"/>
    </row>
    <row r="30" spans="1:47" ht="180" x14ac:dyDescent="0.25">
      <c r="A30" s="60" t="s">
        <v>1232</v>
      </c>
      <c r="B30" s="82">
        <v>1</v>
      </c>
      <c r="C30" s="60" t="s">
        <v>1322</v>
      </c>
      <c r="D30" s="82">
        <v>1</v>
      </c>
      <c r="E30" s="60" t="s">
        <v>1323</v>
      </c>
      <c r="F30" s="82">
        <v>1</v>
      </c>
      <c r="G30" s="60" t="s">
        <v>1325</v>
      </c>
      <c r="H30" s="82">
        <v>1</v>
      </c>
      <c r="I30" s="60"/>
      <c r="J30" s="82"/>
      <c r="K30" s="60"/>
      <c r="L30" s="82"/>
      <c r="M30" s="60"/>
      <c r="N30" s="82"/>
      <c r="O30" s="60"/>
      <c r="P30" s="82"/>
      <c r="Q30" s="60"/>
      <c r="R30" s="82"/>
      <c r="S30" s="60"/>
      <c r="T30" s="82"/>
      <c r="U30" s="60" t="s">
        <v>1234</v>
      </c>
      <c r="V30" s="82">
        <v>1</v>
      </c>
      <c r="W30" s="60"/>
      <c r="X30" s="82"/>
      <c r="Y30" s="60"/>
      <c r="Z30" s="82"/>
      <c r="AA30" s="60"/>
      <c r="AB30" s="82"/>
      <c r="AC30" s="60"/>
      <c r="AD30" s="82"/>
      <c r="AE30" s="60"/>
      <c r="AF30" s="82"/>
      <c r="AG30" s="60"/>
      <c r="AH30" s="82"/>
      <c r="AI30" s="60"/>
      <c r="AJ30" s="82"/>
      <c r="AK30" s="60"/>
      <c r="AL30" s="82"/>
      <c r="AM30" s="60"/>
      <c r="AN30" s="82"/>
      <c r="AO30" s="60"/>
      <c r="AP30" s="60"/>
      <c r="AQ30" s="60"/>
      <c r="AR30" s="60"/>
      <c r="AS30" s="60"/>
      <c r="AT30" s="60"/>
      <c r="AU30" s="60"/>
    </row>
    <row r="31" spans="1:47" x14ac:dyDescent="0.25">
      <c r="A31" s="60"/>
      <c r="B31" s="82"/>
      <c r="C31" s="60"/>
      <c r="D31" s="82"/>
      <c r="E31" s="60"/>
      <c r="F31" s="82"/>
      <c r="G31" s="60"/>
      <c r="H31" s="82"/>
      <c r="I31" s="60"/>
      <c r="J31" s="82"/>
      <c r="K31" s="60"/>
      <c r="L31" s="82"/>
      <c r="M31" s="60"/>
      <c r="N31" s="82"/>
      <c r="O31" s="60"/>
      <c r="P31" s="82"/>
      <c r="Q31" s="60"/>
      <c r="R31" s="82"/>
      <c r="S31" s="60"/>
      <c r="T31" s="82"/>
      <c r="U31" s="60"/>
      <c r="V31" s="82"/>
      <c r="W31" s="60"/>
      <c r="X31" s="82"/>
      <c r="Y31" s="60"/>
      <c r="Z31" s="82"/>
      <c r="AA31" s="60"/>
      <c r="AB31" s="82"/>
      <c r="AC31" s="60"/>
      <c r="AD31" s="82"/>
      <c r="AE31" s="60"/>
      <c r="AF31" s="82"/>
      <c r="AG31" s="60"/>
      <c r="AH31" s="82"/>
      <c r="AI31" s="60"/>
      <c r="AJ31" s="82"/>
      <c r="AK31" s="60"/>
      <c r="AL31" s="82"/>
      <c r="AM31" s="60"/>
      <c r="AN31" s="82"/>
      <c r="AO31" s="60"/>
      <c r="AP31" s="60"/>
      <c r="AQ31" s="60"/>
      <c r="AR31" s="60"/>
      <c r="AS31" s="60"/>
      <c r="AT31" s="60"/>
      <c r="AU31" s="60"/>
    </row>
    <row r="32" spans="1:47" x14ac:dyDescent="0.25">
      <c r="A32" s="63"/>
      <c r="B32" s="83"/>
      <c r="C32" s="63"/>
      <c r="D32" s="83"/>
      <c r="E32" s="63"/>
      <c r="F32" s="83"/>
      <c r="G32" s="63"/>
      <c r="H32" s="83"/>
      <c r="I32" s="63"/>
      <c r="J32" s="83"/>
      <c r="K32" s="63"/>
      <c r="L32" s="83"/>
      <c r="M32" s="63"/>
      <c r="N32" s="83"/>
      <c r="O32" s="63"/>
      <c r="P32" s="83"/>
      <c r="Q32" s="63"/>
      <c r="R32" s="83"/>
      <c r="S32" s="63"/>
      <c r="T32" s="83"/>
      <c r="U32" s="63"/>
      <c r="V32" s="83"/>
      <c r="W32" s="63"/>
      <c r="X32" s="83"/>
      <c r="Y32" s="63"/>
      <c r="Z32" s="83"/>
      <c r="AA32" s="63"/>
      <c r="AB32" s="83"/>
      <c r="AC32" s="63"/>
      <c r="AD32" s="83"/>
      <c r="AE32" s="63"/>
      <c r="AF32" s="83"/>
      <c r="AG32" s="63"/>
      <c r="AH32" s="83"/>
      <c r="AI32" s="63"/>
      <c r="AJ32" s="83"/>
      <c r="AK32" s="63"/>
      <c r="AL32" s="83"/>
      <c r="AM32" s="63"/>
      <c r="AN32" s="83"/>
      <c r="AO32" s="60"/>
      <c r="AP32" s="60"/>
      <c r="AQ32" s="60"/>
      <c r="AR32" s="60"/>
      <c r="AS32" s="60"/>
      <c r="AT32" s="60"/>
      <c r="AU32" s="60"/>
    </row>
    <row r="33" spans="1:47" x14ac:dyDescent="0.25">
      <c r="AO33" s="60"/>
      <c r="AP33" s="60"/>
      <c r="AQ33" s="60"/>
      <c r="AR33" s="60"/>
      <c r="AS33" s="60"/>
      <c r="AT33" s="60"/>
      <c r="AU33" s="60"/>
    </row>
    <row r="34" spans="1:47" x14ac:dyDescent="0.25">
      <c r="AO34" s="60"/>
      <c r="AP34" s="60"/>
      <c r="AQ34" s="60"/>
      <c r="AR34" s="60"/>
      <c r="AS34" s="60"/>
      <c r="AT34" s="60"/>
      <c r="AU34" s="60"/>
    </row>
    <row r="35" spans="1:47" x14ac:dyDescent="0.25">
      <c r="A35" s="135">
        <v>61</v>
      </c>
      <c r="B35" s="135"/>
      <c r="C35" s="135">
        <f>A35+1</f>
        <v>62</v>
      </c>
      <c r="D35" s="135"/>
      <c r="E35" s="135">
        <v>63</v>
      </c>
      <c r="F35" s="135"/>
      <c r="G35" s="135"/>
      <c r="H35" s="135"/>
      <c r="I35" s="135"/>
      <c r="J35" s="135"/>
      <c r="K35" s="135"/>
      <c r="L35" s="135"/>
      <c r="M35" s="135"/>
      <c r="N35" s="135"/>
      <c r="O35" s="135"/>
      <c r="P35" s="135"/>
      <c r="Q35" s="135"/>
      <c r="R35" s="135"/>
      <c r="S35" s="135"/>
      <c r="T35" s="135"/>
      <c r="U35" s="135"/>
      <c r="V35" s="135"/>
      <c r="W35" s="135"/>
      <c r="X35" s="135"/>
      <c r="Y35" s="135"/>
      <c r="Z35" s="135"/>
      <c r="AA35" s="135"/>
      <c r="AB35" s="135"/>
      <c r="AC35" s="135"/>
      <c r="AD35" s="135"/>
      <c r="AE35" s="135"/>
      <c r="AF35" s="135"/>
      <c r="AG35" s="135"/>
      <c r="AH35" s="135"/>
      <c r="AI35" s="135"/>
      <c r="AJ35" s="135"/>
      <c r="AK35" s="135"/>
      <c r="AL35" s="135"/>
      <c r="AM35" s="135"/>
      <c r="AN35" s="135"/>
      <c r="AO35" s="60"/>
      <c r="AP35" s="60"/>
      <c r="AQ35" s="60"/>
      <c r="AR35" s="60"/>
      <c r="AS35" s="60"/>
      <c r="AT35" s="60"/>
      <c r="AU35" s="60"/>
    </row>
    <row r="36" spans="1:47" ht="30" x14ac:dyDescent="0.25">
      <c r="A36" s="60" t="s">
        <v>1332</v>
      </c>
      <c r="B36" s="82">
        <v>1</v>
      </c>
      <c r="C36" s="60" t="s">
        <v>1332</v>
      </c>
      <c r="D36" s="82">
        <v>1</v>
      </c>
      <c r="E36" s="60" t="s">
        <v>1332</v>
      </c>
      <c r="F36" s="82">
        <v>1</v>
      </c>
      <c r="G36" s="60"/>
      <c r="H36" s="82"/>
      <c r="I36" s="60"/>
      <c r="J36" s="82"/>
      <c r="K36" s="60"/>
      <c r="L36" s="82"/>
      <c r="M36" s="60"/>
      <c r="N36" s="82"/>
      <c r="O36" s="60"/>
      <c r="P36" s="82"/>
      <c r="Q36" s="60"/>
      <c r="R36" s="82"/>
      <c r="S36" s="60"/>
      <c r="T36" s="82"/>
      <c r="U36" s="60"/>
      <c r="V36" s="82"/>
      <c r="W36" s="60"/>
      <c r="X36" s="82"/>
      <c r="Y36" s="60"/>
      <c r="Z36" s="82"/>
      <c r="AA36" s="60"/>
      <c r="AB36" s="82"/>
      <c r="AC36" s="60"/>
      <c r="AD36" s="82"/>
      <c r="AE36" s="60"/>
      <c r="AF36" s="82"/>
      <c r="AG36" s="60"/>
      <c r="AH36" s="82"/>
      <c r="AI36" s="60"/>
      <c r="AJ36" s="82"/>
      <c r="AK36" s="60"/>
      <c r="AL36" s="82"/>
      <c r="AM36" s="60"/>
      <c r="AN36" s="82"/>
      <c r="AO36" s="60"/>
      <c r="AP36" s="60"/>
      <c r="AQ36" s="60"/>
      <c r="AR36" s="60"/>
      <c r="AS36" s="60"/>
      <c r="AT36" s="60"/>
      <c r="AU36" s="60"/>
    </row>
    <row r="37" spans="1:47" ht="75" x14ac:dyDescent="0.25">
      <c r="A37" s="60" t="s">
        <v>1209</v>
      </c>
      <c r="B37" s="82">
        <v>1</v>
      </c>
      <c r="C37" s="60" t="s">
        <v>1209</v>
      </c>
      <c r="D37" s="82">
        <v>1</v>
      </c>
      <c r="E37" s="60" t="s">
        <v>1209</v>
      </c>
      <c r="F37" s="82">
        <v>1</v>
      </c>
      <c r="G37" s="60"/>
      <c r="H37" s="82"/>
      <c r="I37" s="60"/>
      <c r="J37" s="82"/>
      <c r="K37" s="60"/>
      <c r="L37" s="82"/>
      <c r="M37" s="60"/>
      <c r="N37" s="82"/>
      <c r="O37" s="60"/>
      <c r="P37" s="82"/>
      <c r="Q37" s="60"/>
      <c r="R37" s="82"/>
      <c r="S37" s="60"/>
      <c r="T37" s="82"/>
      <c r="U37" s="60"/>
      <c r="V37" s="82"/>
      <c r="W37" s="60"/>
      <c r="X37" s="82"/>
      <c r="Y37" s="60"/>
      <c r="Z37" s="82"/>
      <c r="AA37" s="60"/>
      <c r="AB37" s="82"/>
      <c r="AC37" s="60"/>
      <c r="AD37" s="82"/>
      <c r="AE37" s="60"/>
      <c r="AF37" s="82"/>
      <c r="AG37" s="60"/>
      <c r="AH37" s="82"/>
      <c r="AI37" s="60"/>
      <c r="AJ37" s="82"/>
      <c r="AK37" s="60"/>
      <c r="AL37" s="82"/>
      <c r="AM37" s="60"/>
      <c r="AN37" s="82"/>
      <c r="AO37" s="60"/>
      <c r="AP37" s="60"/>
      <c r="AQ37" s="60"/>
      <c r="AR37" s="60"/>
      <c r="AS37" s="60"/>
      <c r="AT37" s="60"/>
      <c r="AU37" s="60"/>
    </row>
    <row r="38" spans="1:47" x14ac:dyDescent="0.25">
      <c r="A38" s="60"/>
      <c r="B38" s="82"/>
      <c r="C38" s="60"/>
      <c r="D38" s="82"/>
      <c r="E38" s="60"/>
      <c r="F38" s="82"/>
      <c r="G38" s="60"/>
      <c r="H38" s="82"/>
      <c r="I38" s="60"/>
      <c r="J38" s="82"/>
      <c r="K38" s="60"/>
      <c r="L38" s="82"/>
      <c r="M38" s="60"/>
      <c r="N38" s="82"/>
      <c r="O38" s="60"/>
      <c r="P38" s="82"/>
      <c r="Q38" s="60"/>
      <c r="R38" s="82"/>
      <c r="S38" s="60"/>
      <c r="T38" s="82"/>
      <c r="U38" s="60"/>
      <c r="V38" s="82"/>
      <c r="W38" s="60"/>
      <c r="X38" s="82"/>
      <c r="Y38" s="60"/>
      <c r="Z38" s="82"/>
      <c r="AA38" s="60"/>
      <c r="AB38" s="82"/>
      <c r="AC38" s="60"/>
      <c r="AD38" s="82"/>
      <c r="AE38" s="60"/>
      <c r="AF38" s="82"/>
      <c r="AG38" s="60"/>
      <c r="AH38" s="82"/>
      <c r="AI38" s="60"/>
      <c r="AJ38" s="82"/>
      <c r="AK38" s="60"/>
      <c r="AL38" s="82"/>
      <c r="AM38" s="60"/>
      <c r="AN38" s="82"/>
    </row>
    <row r="39" spans="1:47" x14ac:dyDescent="0.25">
      <c r="A39" s="63"/>
      <c r="B39" s="83"/>
      <c r="C39" s="63"/>
      <c r="D39" s="83"/>
      <c r="E39" s="63"/>
      <c r="F39" s="83"/>
      <c r="G39" s="63"/>
      <c r="H39" s="83"/>
      <c r="I39" s="63"/>
      <c r="J39" s="83"/>
      <c r="K39" s="63"/>
      <c r="L39" s="83"/>
      <c r="M39" s="63"/>
      <c r="N39" s="83"/>
      <c r="O39" s="63"/>
      <c r="P39" s="83"/>
      <c r="Q39" s="63"/>
      <c r="R39" s="83"/>
      <c r="S39" s="63"/>
      <c r="T39" s="83"/>
      <c r="U39" s="63"/>
      <c r="V39" s="83"/>
      <c r="W39" s="63"/>
      <c r="X39" s="83"/>
      <c r="Y39" s="63"/>
      <c r="Z39" s="83"/>
      <c r="AA39" s="63"/>
      <c r="AB39" s="83"/>
      <c r="AC39" s="63"/>
      <c r="AD39" s="83"/>
      <c r="AE39" s="63"/>
      <c r="AF39" s="83"/>
      <c r="AG39" s="63"/>
      <c r="AH39" s="83"/>
      <c r="AI39" s="63"/>
      <c r="AJ39" s="83"/>
      <c r="AK39" s="63"/>
      <c r="AL39" s="83"/>
      <c r="AM39" s="63"/>
      <c r="AN39" s="83"/>
    </row>
    <row r="40" spans="1:47" x14ac:dyDescent="0.25">
      <c r="A40" s="134"/>
      <c r="B40" s="134"/>
      <c r="C40" s="134"/>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60"/>
      <c r="AP40" s="60"/>
      <c r="AQ40" s="60"/>
    </row>
    <row r="41" spans="1:47" x14ac:dyDescent="0.25">
      <c r="A41" s="60"/>
      <c r="B41" s="60"/>
      <c r="C41" s="60"/>
      <c r="D41" s="60"/>
      <c r="E41" s="60"/>
      <c r="F41" s="60"/>
      <c r="G41" s="60"/>
      <c r="H41" s="60"/>
      <c r="I41" s="60"/>
      <c r="J41" s="60"/>
      <c r="K41" s="60"/>
      <c r="L41" s="60"/>
      <c r="M41" s="60"/>
      <c r="N41" s="60"/>
      <c r="O41" s="60"/>
      <c r="P41" s="60"/>
      <c r="Q41" s="60"/>
      <c r="R41" s="60"/>
      <c r="S41" s="60"/>
      <c r="T41" s="60"/>
      <c r="U41" s="60"/>
      <c r="V41" s="60"/>
      <c r="W41" s="60"/>
      <c r="X41" s="60"/>
      <c r="Y41" s="60"/>
      <c r="Z41" s="60"/>
      <c r="AA41" s="60"/>
      <c r="AB41" s="60"/>
      <c r="AC41" s="60"/>
      <c r="AD41" s="60"/>
      <c r="AE41" s="60"/>
      <c r="AF41" s="60"/>
      <c r="AG41" s="60"/>
      <c r="AH41" s="60"/>
      <c r="AI41" s="60"/>
      <c r="AJ41" s="60"/>
      <c r="AK41" s="60"/>
      <c r="AL41" s="60"/>
      <c r="AM41" s="60"/>
      <c r="AN41" s="60"/>
      <c r="AO41" s="60"/>
      <c r="AP41" s="60"/>
      <c r="AQ41" s="60"/>
    </row>
    <row r="42" spans="1:47" x14ac:dyDescent="0.25">
      <c r="A42" s="60"/>
      <c r="B42" s="60"/>
      <c r="C42" s="60"/>
      <c r="D42" s="60"/>
      <c r="E42" s="60"/>
      <c r="F42" s="60"/>
      <c r="G42" s="60"/>
      <c r="H42" s="60"/>
      <c r="I42" s="60"/>
      <c r="J42" s="60"/>
      <c r="K42" s="60"/>
      <c r="L42" s="60"/>
      <c r="M42" s="60"/>
      <c r="N42" s="60"/>
      <c r="O42" s="60"/>
      <c r="P42" s="60"/>
      <c r="Q42" s="60"/>
      <c r="R42" s="60"/>
      <c r="S42" s="60"/>
      <c r="T42" s="60"/>
      <c r="U42" s="60"/>
      <c r="V42" s="60"/>
      <c r="W42" s="60"/>
      <c r="X42" s="60"/>
      <c r="Y42" s="60"/>
      <c r="Z42" s="60"/>
      <c r="AA42" s="60"/>
      <c r="AB42" s="60"/>
      <c r="AC42" s="60"/>
      <c r="AD42" s="60"/>
      <c r="AE42" s="60"/>
      <c r="AF42" s="60"/>
      <c r="AG42" s="60"/>
      <c r="AH42" s="60"/>
      <c r="AI42" s="60"/>
      <c r="AJ42" s="60"/>
      <c r="AK42" s="60"/>
      <c r="AL42" s="60"/>
      <c r="AM42" s="60"/>
      <c r="AN42" s="60"/>
      <c r="AO42" s="60"/>
      <c r="AP42" s="60"/>
      <c r="AQ42" s="60"/>
    </row>
    <row r="43" spans="1:47" x14ac:dyDescent="0.25">
      <c r="A43" s="60"/>
      <c r="B43" s="60"/>
      <c r="C43" s="60"/>
      <c r="D43" s="60"/>
      <c r="E43" s="60"/>
      <c r="F43" s="60"/>
      <c r="G43" s="60"/>
      <c r="H43" s="60"/>
      <c r="I43" s="60"/>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row>
    <row r="44" spans="1:47" x14ac:dyDescent="0.25">
      <c r="A44" s="60"/>
      <c r="B44" s="60"/>
      <c r="C44" s="60"/>
      <c r="D44" s="60"/>
      <c r="E44" s="60"/>
      <c r="F44" s="60"/>
      <c r="G44" s="60"/>
      <c r="H44" s="60"/>
      <c r="I44" s="60"/>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row>
    <row r="45" spans="1:47" x14ac:dyDescent="0.25">
      <c r="A45" s="60"/>
      <c r="B45" s="60"/>
      <c r="C45" s="60"/>
      <c r="D45" s="60"/>
      <c r="E45" s="60"/>
      <c r="F45" s="60"/>
      <c r="G45" s="60"/>
      <c r="H45" s="60"/>
      <c r="I45" s="60"/>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row>
    <row r="46" spans="1:47" x14ac:dyDescent="0.25">
      <c r="A46" s="60"/>
      <c r="B46" s="60"/>
      <c r="C46" s="60"/>
      <c r="D46" s="60"/>
      <c r="E46" s="60"/>
      <c r="F46" s="60"/>
      <c r="G46" s="60"/>
      <c r="H46" s="60"/>
      <c r="I46" s="60"/>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row>
    <row r="47" spans="1:47" x14ac:dyDescent="0.25">
      <c r="A47" s="60"/>
      <c r="B47" s="60"/>
      <c r="C47" s="60"/>
      <c r="D47" s="60"/>
      <c r="E47" s="60"/>
      <c r="F47" s="60"/>
      <c r="G47" s="60"/>
      <c r="H47" s="60"/>
      <c r="I47" s="60"/>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row>
    <row r="48" spans="1:47" x14ac:dyDescent="0.25">
      <c r="A48" s="60"/>
      <c r="B48" s="60"/>
      <c r="C48" s="60"/>
      <c r="D48" s="60"/>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row>
    <row r="49" spans="1:42" x14ac:dyDescent="0.25">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row>
    <row r="50" spans="1:42" x14ac:dyDescent="0.25">
      <c r="A50" s="60"/>
      <c r="B50" s="60"/>
      <c r="C50" s="60"/>
      <c r="D50" s="60"/>
      <c r="E50" s="60"/>
      <c r="F50" s="60"/>
      <c r="G50" s="60"/>
      <c r="H50" s="60"/>
      <c r="I50" s="60"/>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row>
    <row r="51" spans="1:42" x14ac:dyDescent="0.25">
      <c r="A51" s="60"/>
      <c r="B51" s="60"/>
      <c r="C51" s="60"/>
      <c r="D51" s="60"/>
      <c r="E51" s="60"/>
      <c r="F51" s="60"/>
      <c r="G51" s="60"/>
      <c r="H51" s="60"/>
      <c r="I51" s="60"/>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row>
    <row r="52" spans="1:42" x14ac:dyDescent="0.25">
      <c r="A52" s="60"/>
      <c r="B52" s="60"/>
      <c r="C52" s="60"/>
      <c r="D52" s="60"/>
      <c r="E52" s="60"/>
      <c r="F52" s="60"/>
      <c r="G52" s="60"/>
      <c r="H52" s="60"/>
      <c r="I52" s="60"/>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row>
    <row r="53" spans="1:42" x14ac:dyDescent="0.25">
      <c r="A53" s="60"/>
      <c r="B53" s="60"/>
      <c r="C53" s="60"/>
      <c r="D53" s="60"/>
      <c r="E53" s="60"/>
      <c r="F53" s="60"/>
      <c r="G53" s="60"/>
      <c r="H53" s="60"/>
      <c r="I53" s="60"/>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row>
    <row r="54" spans="1:42" x14ac:dyDescent="0.25">
      <c r="A54" s="60"/>
      <c r="B54" s="60"/>
      <c r="C54" s="60"/>
      <c r="D54" s="60"/>
      <c r="E54" s="60"/>
      <c r="F54" s="60"/>
      <c r="G54" s="60"/>
      <c r="H54" s="60"/>
      <c r="I54" s="60"/>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row>
    <row r="55" spans="1:42" x14ac:dyDescent="0.25">
      <c r="A55" s="60"/>
      <c r="B55" s="60"/>
      <c r="C55" s="60"/>
      <c r="D55" s="60"/>
      <c r="E55" s="60"/>
      <c r="F55" s="60"/>
      <c r="G55" s="60"/>
      <c r="H55" s="60"/>
      <c r="I55" s="60"/>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row>
    <row r="56" spans="1:42" x14ac:dyDescent="0.25">
      <c r="A56" s="60"/>
      <c r="B56" s="60"/>
      <c r="C56" s="60"/>
      <c r="D56" s="60"/>
      <c r="E56" s="60"/>
      <c r="F56" s="60"/>
      <c r="G56" s="60"/>
      <c r="H56" s="60"/>
      <c r="I56" s="60"/>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row>
    <row r="57" spans="1:42" x14ac:dyDescent="0.25">
      <c r="A57" s="60"/>
      <c r="B57" s="60"/>
      <c r="C57" s="60"/>
      <c r="D57" s="60"/>
      <c r="E57" s="60"/>
      <c r="F57" s="60"/>
      <c r="G57" s="60"/>
      <c r="H57" s="60"/>
      <c r="I57" s="60"/>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row>
    <row r="58" spans="1:42" x14ac:dyDescent="0.25">
      <c r="A58" s="60"/>
      <c r="B58" s="60"/>
      <c r="C58" s="60"/>
      <c r="D58" s="60"/>
      <c r="E58" s="60"/>
      <c r="F58" s="60"/>
      <c r="G58" s="60"/>
      <c r="H58" s="60"/>
      <c r="I58" s="60"/>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row>
    <row r="59" spans="1:42" x14ac:dyDescent="0.25">
      <c r="A59" s="60"/>
      <c r="B59" s="60"/>
      <c r="C59" s="60"/>
      <c r="D59" s="60"/>
      <c r="E59" s="60"/>
      <c r="F59" s="60"/>
      <c r="G59" s="60"/>
      <c r="H59" s="60"/>
      <c r="I59" s="60"/>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row>
    <row r="60" spans="1:42" x14ac:dyDescent="0.25">
      <c r="A60" s="134"/>
      <c r="B60" s="134"/>
      <c r="C60" s="134"/>
      <c r="D60" s="134"/>
      <c r="E60" s="134"/>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60"/>
      <c r="AP60" s="60"/>
    </row>
    <row r="61" spans="1:42" x14ac:dyDescent="0.25">
      <c r="A61" s="60"/>
      <c r="B61" s="60"/>
      <c r="C61" s="60"/>
      <c r="D61" s="60"/>
      <c r="E61" s="60"/>
      <c r="F61" s="60"/>
      <c r="G61" s="60"/>
      <c r="H61" s="60"/>
      <c r="I61" s="60"/>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row>
    <row r="62" spans="1:42" x14ac:dyDescent="0.25">
      <c r="A62" s="60"/>
      <c r="B62" s="60"/>
      <c r="C62" s="60"/>
      <c r="D62" s="60"/>
      <c r="E62" s="60"/>
      <c r="F62" s="60"/>
      <c r="G62" s="60"/>
      <c r="H62" s="60"/>
      <c r="I62" s="60"/>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row>
    <row r="63" spans="1:42" x14ac:dyDescent="0.25">
      <c r="A63" s="60"/>
      <c r="B63" s="60"/>
      <c r="C63" s="60"/>
      <c r="D63" s="60"/>
      <c r="E63" s="60"/>
      <c r="F63" s="60"/>
      <c r="G63" s="60"/>
      <c r="H63" s="60"/>
      <c r="I63" s="60"/>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row>
    <row r="64" spans="1:42" x14ac:dyDescent="0.25">
      <c r="A64" s="60"/>
      <c r="B64" s="60"/>
      <c r="C64" s="60"/>
      <c r="D64" s="60"/>
      <c r="E64" s="60"/>
      <c r="F64" s="60"/>
      <c r="G64" s="60"/>
      <c r="H64" s="60"/>
      <c r="I64" s="60"/>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row>
    <row r="65" spans="1:45" x14ac:dyDescent="0.25">
      <c r="A65" s="60"/>
      <c r="B65" s="60"/>
      <c r="C65" s="60"/>
      <c r="D65" s="60"/>
      <c r="E65" s="60"/>
      <c r="F65" s="60"/>
      <c r="G65" s="60"/>
      <c r="H65" s="60"/>
      <c r="I65" s="60"/>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row>
    <row r="66" spans="1:45" x14ac:dyDescent="0.25">
      <c r="A66" s="60"/>
      <c r="B66" s="60"/>
      <c r="C66" s="60"/>
      <c r="D66" s="60"/>
      <c r="E66" s="60"/>
      <c r="F66" s="60"/>
      <c r="G66" s="60"/>
      <c r="H66" s="60"/>
      <c r="I66" s="60"/>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row>
    <row r="67" spans="1:45" x14ac:dyDescent="0.25">
      <c r="A67" s="60"/>
      <c r="B67" s="60"/>
      <c r="C67" s="60"/>
      <c r="D67" s="60"/>
      <c r="E67" s="60"/>
      <c r="F67" s="60"/>
      <c r="G67" s="60"/>
      <c r="H67" s="60"/>
      <c r="I67" s="60"/>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row>
    <row r="68" spans="1:45" x14ac:dyDescent="0.25">
      <c r="A68" s="60"/>
      <c r="B68" s="60"/>
      <c r="C68" s="60"/>
      <c r="D68" s="60"/>
      <c r="E68" s="60"/>
      <c r="F68" s="60"/>
      <c r="G68" s="60"/>
      <c r="H68" s="60"/>
      <c r="I68" s="60"/>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row>
    <row r="69" spans="1:45" x14ac:dyDescent="0.25">
      <c r="A69" s="60"/>
      <c r="B69" s="60"/>
      <c r="C69" s="60"/>
      <c r="D69" s="60"/>
      <c r="E69" s="60"/>
      <c r="F69" s="60"/>
      <c r="G69" s="60"/>
      <c r="H69" s="60"/>
      <c r="I69" s="60"/>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row>
    <row r="70" spans="1:45" x14ac:dyDescent="0.25">
      <c r="A70" s="60"/>
      <c r="B70" s="60"/>
      <c r="C70" s="60"/>
      <c r="D70" s="60"/>
      <c r="E70" s="60"/>
      <c r="F70" s="60"/>
      <c r="G70" s="60"/>
      <c r="H70" s="60"/>
      <c r="I70" s="60"/>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row>
    <row r="71" spans="1:45" x14ac:dyDescent="0.25">
      <c r="A71" s="60"/>
      <c r="B71" s="60"/>
      <c r="C71" s="60"/>
      <c r="D71" s="60"/>
      <c r="E71" s="60"/>
      <c r="F71" s="60"/>
      <c r="G71" s="60"/>
      <c r="H71" s="60"/>
      <c r="I71" s="60"/>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row>
    <row r="72" spans="1:45" x14ac:dyDescent="0.25">
      <c r="A72" s="60"/>
      <c r="B72" s="60"/>
      <c r="C72" s="60"/>
      <c r="D72" s="60"/>
      <c r="E72" s="60"/>
      <c r="F72" s="60"/>
      <c r="G72" s="60"/>
      <c r="H72" s="60"/>
      <c r="I72" s="60"/>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row>
    <row r="73" spans="1:45" x14ac:dyDescent="0.25">
      <c r="A73" s="60"/>
      <c r="B73" s="60"/>
      <c r="C73" s="60"/>
      <c r="D73" s="60"/>
      <c r="E73" s="60"/>
      <c r="F73" s="60"/>
      <c r="G73" s="60"/>
      <c r="H73" s="60"/>
      <c r="I73" s="60"/>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row>
    <row r="74" spans="1:45" x14ac:dyDescent="0.25">
      <c r="A74" s="60"/>
      <c r="B74" s="60"/>
      <c r="C74" s="60"/>
      <c r="D74" s="60"/>
      <c r="E74" s="60"/>
      <c r="F74" s="60"/>
      <c r="G74" s="60"/>
      <c r="H74" s="60"/>
      <c r="I74" s="60"/>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row>
    <row r="75" spans="1:45" x14ac:dyDescent="0.25">
      <c r="A75" s="60"/>
      <c r="B75" s="60"/>
      <c r="C75" s="60"/>
      <c r="D75" s="60"/>
      <c r="E75" s="60"/>
      <c r="F75" s="60"/>
      <c r="G75" s="60"/>
      <c r="H75" s="60"/>
      <c r="I75" s="60"/>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row>
    <row r="76" spans="1:45" x14ac:dyDescent="0.25">
      <c r="A76" s="60"/>
      <c r="B76" s="60"/>
      <c r="C76" s="60"/>
      <c r="D76" s="60"/>
      <c r="E76" s="60"/>
      <c r="F76" s="60"/>
      <c r="G76" s="60"/>
      <c r="H76" s="60"/>
      <c r="I76" s="60"/>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row>
    <row r="77" spans="1:45" x14ac:dyDescent="0.25">
      <c r="A77" s="60"/>
      <c r="B77" s="60"/>
      <c r="C77" s="60"/>
      <c r="D77" s="60"/>
      <c r="E77" s="60"/>
      <c r="F77" s="60"/>
      <c r="G77" s="60"/>
      <c r="H77" s="60"/>
      <c r="I77" s="60"/>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row>
    <row r="78" spans="1:45"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c r="AD78" s="134"/>
      <c r="AE78" s="134"/>
      <c r="AF78" s="134"/>
      <c r="AG78" s="134"/>
      <c r="AH78" s="134"/>
      <c r="AI78" s="134"/>
      <c r="AJ78" s="134"/>
      <c r="AK78" s="134"/>
      <c r="AL78" s="134"/>
      <c r="AM78" s="134"/>
      <c r="AN78" s="134"/>
      <c r="AO78" s="60"/>
      <c r="AP78" s="60"/>
      <c r="AQ78" s="60"/>
      <c r="AR78" s="60"/>
      <c r="AS78" s="60"/>
    </row>
    <row r="79" spans="1:45" x14ac:dyDescent="0.25">
      <c r="A79" s="60"/>
      <c r="B79" s="60"/>
      <c r="C79" s="60"/>
      <c r="D79" s="60"/>
      <c r="E79" s="60"/>
      <c r="F79" s="60"/>
      <c r="G79" s="60"/>
      <c r="H79" s="60"/>
      <c r="I79" s="60"/>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row>
    <row r="80" spans="1:45" x14ac:dyDescent="0.25">
      <c r="A80" s="60"/>
      <c r="B80" s="60"/>
      <c r="C80" s="60"/>
      <c r="D80" s="60"/>
      <c r="E80" s="60"/>
      <c r="F80" s="60"/>
      <c r="G80" s="60"/>
      <c r="H80" s="60"/>
      <c r="I80" s="60"/>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row>
    <row r="81" spans="1:45" x14ac:dyDescent="0.25">
      <c r="A81" s="60"/>
      <c r="B81" s="60"/>
      <c r="C81" s="60"/>
      <c r="D81" s="60"/>
      <c r="E81" s="60"/>
      <c r="F81" s="60"/>
      <c r="G81" s="60"/>
      <c r="H81" s="60"/>
      <c r="I81" s="60"/>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row>
    <row r="82" spans="1:45" x14ac:dyDescent="0.25">
      <c r="A82" s="60"/>
      <c r="B82" s="60"/>
      <c r="C82" s="60"/>
      <c r="D82" s="60"/>
      <c r="E82" s="60"/>
      <c r="F82" s="60"/>
      <c r="G82" s="60"/>
      <c r="H82" s="60"/>
      <c r="I82" s="60"/>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row>
    <row r="83" spans="1:45" x14ac:dyDescent="0.25">
      <c r="A83" s="60"/>
      <c r="B83" s="60"/>
      <c r="C83" s="60"/>
      <c r="D83" s="60"/>
      <c r="E83" s="60"/>
      <c r="F83" s="60"/>
      <c r="G83" s="60"/>
      <c r="H83" s="60"/>
      <c r="I83" s="60"/>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row>
    <row r="84" spans="1:45" x14ac:dyDescent="0.25">
      <c r="A84" s="60"/>
      <c r="B84" s="60"/>
      <c r="C84" s="60"/>
      <c r="D84" s="60"/>
      <c r="E84" s="60"/>
      <c r="F84" s="60"/>
      <c r="G84" s="60"/>
      <c r="H84" s="60"/>
      <c r="I84" s="60"/>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row>
    <row r="85" spans="1:45" x14ac:dyDescent="0.25">
      <c r="A85" s="60"/>
      <c r="B85" s="60"/>
      <c r="C85" s="60"/>
      <c r="D85" s="60"/>
      <c r="E85" s="60"/>
      <c r="F85" s="60"/>
      <c r="G85" s="60"/>
      <c r="H85" s="60"/>
      <c r="I85" s="60"/>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row>
    <row r="86" spans="1:45" x14ac:dyDescent="0.25">
      <c r="A86" s="60"/>
      <c r="B86" s="60"/>
      <c r="C86" s="60"/>
      <c r="D86" s="60"/>
      <c r="E86" s="60"/>
      <c r="F86" s="60"/>
      <c r="G86" s="60"/>
      <c r="H86" s="60"/>
      <c r="I86" s="60"/>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row>
    <row r="87" spans="1:45" x14ac:dyDescent="0.25">
      <c r="A87" s="60"/>
      <c r="B87" s="60"/>
      <c r="C87" s="60"/>
      <c r="D87" s="60"/>
      <c r="E87" s="60"/>
      <c r="F87" s="60"/>
      <c r="G87" s="60"/>
      <c r="H87" s="60"/>
      <c r="I87" s="60"/>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row>
    <row r="88" spans="1:45" x14ac:dyDescent="0.25">
      <c r="A88" s="60"/>
      <c r="B88" s="60"/>
      <c r="C88" s="60"/>
      <c r="D88" s="60"/>
      <c r="E88" s="60"/>
      <c r="F88" s="60"/>
      <c r="G88" s="60"/>
      <c r="H88" s="60"/>
      <c r="I88" s="60"/>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row>
    <row r="89" spans="1:45" x14ac:dyDescent="0.25">
      <c r="A89" s="60"/>
      <c r="B89" s="60"/>
      <c r="C89" s="60"/>
      <c r="D89" s="60"/>
      <c r="E89" s="60"/>
      <c r="F89" s="60"/>
      <c r="G89" s="60"/>
      <c r="H89" s="60"/>
      <c r="I89" s="60"/>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row>
    <row r="90" spans="1:45" x14ac:dyDescent="0.25">
      <c r="A90" s="60"/>
      <c r="B90" s="60"/>
      <c r="C90" s="60"/>
      <c r="D90" s="60"/>
      <c r="E90" s="60"/>
      <c r="F90" s="60"/>
      <c r="G90" s="60"/>
      <c r="H90" s="60"/>
      <c r="I90" s="60"/>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row>
    <row r="91" spans="1:45" x14ac:dyDescent="0.25">
      <c r="A91" s="60"/>
      <c r="B91" s="60"/>
      <c r="C91" s="60"/>
      <c r="D91" s="60"/>
      <c r="E91" s="60"/>
      <c r="F91" s="60"/>
      <c r="G91" s="60"/>
      <c r="H91" s="60"/>
      <c r="I91" s="60"/>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row>
    <row r="92" spans="1:45" x14ac:dyDescent="0.25">
      <c r="A92" s="60"/>
      <c r="B92" s="60"/>
      <c r="C92" s="60"/>
      <c r="D92" s="60"/>
      <c r="E92" s="60"/>
      <c r="F92" s="60"/>
      <c r="G92" s="60"/>
      <c r="H92" s="60"/>
      <c r="I92" s="60"/>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row>
    <row r="93" spans="1:45" x14ac:dyDescent="0.25">
      <c r="A93" s="60"/>
      <c r="B93" s="60"/>
      <c r="C93" s="60"/>
      <c r="D93" s="60"/>
      <c r="E93" s="60"/>
      <c r="F93" s="60"/>
      <c r="G93" s="60"/>
      <c r="H93" s="60"/>
      <c r="I93" s="60"/>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row>
    <row r="94" spans="1:45" x14ac:dyDescent="0.25">
      <c r="A94" s="60"/>
      <c r="B94" s="60"/>
      <c r="C94" s="60"/>
      <c r="D94" s="60"/>
      <c r="E94" s="60"/>
      <c r="F94" s="60"/>
      <c r="G94" s="60"/>
      <c r="H94" s="60"/>
      <c r="I94" s="60"/>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row>
    <row r="95" spans="1:45" x14ac:dyDescent="0.25">
      <c r="A95" s="60"/>
      <c r="B95" s="60"/>
      <c r="C95" s="60"/>
      <c r="D95" s="60"/>
      <c r="E95" s="60"/>
      <c r="F95" s="60"/>
      <c r="G95" s="60"/>
      <c r="H95" s="60"/>
      <c r="I95" s="60"/>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row>
    <row r="96" spans="1:45" x14ac:dyDescent="0.25">
      <c r="A96" s="60"/>
      <c r="B96" s="60"/>
      <c r="C96" s="60"/>
      <c r="D96" s="60"/>
      <c r="E96" s="60"/>
      <c r="F96" s="60"/>
      <c r="G96" s="60"/>
      <c r="H96" s="60"/>
      <c r="I96" s="60"/>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row>
    <row r="97" spans="1:45" x14ac:dyDescent="0.25">
      <c r="A97" s="60"/>
      <c r="B97" s="60"/>
      <c r="C97" s="60"/>
      <c r="D97" s="60"/>
      <c r="E97" s="60"/>
      <c r="F97" s="60"/>
      <c r="G97" s="60"/>
      <c r="H97" s="60"/>
      <c r="I97" s="60"/>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row>
    <row r="98" spans="1:45" x14ac:dyDescent="0.25">
      <c r="A98" s="60"/>
      <c r="B98" s="60"/>
      <c r="C98" s="60"/>
      <c r="D98" s="60"/>
      <c r="E98" s="60"/>
      <c r="F98" s="60"/>
      <c r="G98" s="60"/>
      <c r="H98" s="60"/>
      <c r="I98" s="60"/>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row>
    <row r="99" spans="1:45" x14ac:dyDescent="0.25">
      <c r="A99" s="60"/>
      <c r="B99" s="60"/>
      <c r="C99" s="60"/>
      <c r="D99" s="60"/>
      <c r="E99" s="60"/>
      <c r="F99" s="60"/>
      <c r="G99" s="60"/>
      <c r="H99" s="60"/>
      <c r="I99" s="60"/>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row>
    <row r="100" spans="1:45" x14ac:dyDescent="0.25">
      <c r="A100" s="60"/>
      <c r="B100" s="60"/>
      <c r="C100" s="60"/>
      <c r="D100" s="60"/>
      <c r="E100" s="60"/>
      <c r="F100" s="60"/>
      <c r="G100" s="60"/>
      <c r="H100" s="60"/>
      <c r="I100" s="60"/>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row>
    <row r="101" spans="1:45" x14ac:dyDescent="0.25">
      <c r="A101" s="60"/>
      <c r="B101" s="60"/>
      <c r="C101" s="60"/>
      <c r="D101" s="60"/>
      <c r="E101" s="60"/>
      <c r="F101" s="60"/>
      <c r="G101" s="60"/>
      <c r="H101" s="60"/>
      <c r="I101" s="60"/>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row>
    <row r="102" spans="1:45" x14ac:dyDescent="0.25">
      <c r="A102" s="60"/>
      <c r="B102" s="60"/>
      <c r="C102" s="60"/>
      <c r="D102" s="60"/>
      <c r="E102" s="60"/>
      <c r="F102" s="60"/>
      <c r="G102" s="60"/>
      <c r="H102" s="60"/>
      <c r="I102" s="60"/>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row>
    <row r="103" spans="1:45" x14ac:dyDescent="0.25">
      <c r="A103" s="60"/>
      <c r="B103" s="60"/>
      <c r="C103" s="60"/>
      <c r="D103" s="60"/>
      <c r="E103" s="60"/>
      <c r="F103" s="60"/>
      <c r="G103" s="60"/>
      <c r="H103" s="60"/>
      <c r="I103" s="60"/>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row>
    <row r="104" spans="1:45" x14ac:dyDescent="0.25">
      <c r="A104" s="60"/>
      <c r="B104" s="60"/>
      <c r="C104" s="60"/>
      <c r="D104" s="60"/>
      <c r="E104" s="60"/>
      <c r="F104" s="60"/>
      <c r="G104" s="60"/>
      <c r="H104" s="60"/>
      <c r="I104" s="60"/>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row>
    <row r="105" spans="1:45" x14ac:dyDescent="0.25">
      <c r="A105" s="60"/>
      <c r="B105" s="60"/>
      <c r="C105" s="60"/>
      <c r="D105" s="60"/>
      <c r="E105" s="60"/>
      <c r="F105" s="60"/>
      <c r="G105" s="60"/>
      <c r="H105" s="60"/>
      <c r="I105" s="60"/>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row>
    <row r="106" spans="1:45" x14ac:dyDescent="0.25">
      <c r="A106" s="60"/>
      <c r="B106" s="60"/>
      <c r="C106" s="60"/>
      <c r="D106" s="60"/>
      <c r="E106" s="60"/>
      <c r="F106" s="60"/>
      <c r="G106" s="60"/>
      <c r="H106" s="60"/>
      <c r="I106" s="60"/>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row>
  </sheetData>
  <mergeCells count="144">
    <mergeCell ref="AC78:AD78"/>
    <mergeCell ref="AE78:AF78"/>
    <mergeCell ref="AG78:AH78"/>
    <mergeCell ref="AI78:AJ78"/>
    <mergeCell ref="AK78:AL78"/>
    <mergeCell ref="AM78:AN78"/>
    <mergeCell ref="Q78:R78"/>
    <mergeCell ref="S78:T78"/>
    <mergeCell ref="U78:V78"/>
    <mergeCell ref="W78:X78"/>
    <mergeCell ref="Y78:Z78"/>
    <mergeCell ref="AA78:AB78"/>
    <mergeCell ref="AK60:AL60"/>
    <mergeCell ref="AM60:AN60"/>
    <mergeCell ref="A78:B78"/>
    <mergeCell ref="C78:D78"/>
    <mergeCell ref="E78:F78"/>
    <mergeCell ref="G78:H78"/>
    <mergeCell ref="I78:J78"/>
    <mergeCell ref="K78:L78"/>
    <mergeCell ref="M78:N78"/>
    <mergeCell ref="O78:P78"/>
    <mergeCell ref="Y60:Z60"/>
    <mergeCell ref="AA60:AB60"/>
    <mergeCell ref="AC60:AD60"/>
    <mergeCell ref="AE60:AF60"/>
    <mergeCell ref="AG60:AH60"/>
    <mergeCell ref="AI60:AJ60"/>
    <mergeCell ref="M60:N60"/>
    <mergeCell ref="O60:P60"/>
    <mergeCell ref="Q60:R60"/>
    <mergeCell ref="S60:T60"/>
    <mergeCell ref="U60:V60"/>
    <mergeCell ref="W60:X60"/>
    <mergeCell ref="A60:B60"/>
    <mergeCell ref="C60:D60"/>
    <mergeCell ref="E60:F60"/>
    <mergeCell ref="G60:H60"/>
    <mergeCell ref="I60:J60"/>
    <mergeCell ref="K60:L60"/>
    <mergeCell ref="AC40:AD40"/>
    <mergeCell ref="AE40:AF40"/>
    <mergeCell ref="AG40:AH40"/>
    <mergeCell ref="AI40:AJ40"/>
    <mergeCell ref="AK40:AL40"/>
    <mergeCell ref="AM40:AN40"/>
    <mergeCell ref="Q40:R40"/>
    <mergeCell ref="S40:T40"/>
    <mergeCell ref="U40:V40"/>
    <mergeCell ref="W40:X40"/>
    <mergeCell ref="Y40:Z40"/>
    <mergeCell ref="AA40:AB40"/>
    <mergeCell ref="AK35:AL35"/>
    <mergeCell ref="AM35:AN35"/>
    <mergeCell ref="A40:B40"/>
    <mergeCell ref="C40:D40"/>
    <mergeCell ref="E40:F40"/>
    <mergeCell ref="G40:H40"/>
    <mergeCell ref="I40:J40"/>
    <mergeCell ref="K40:L40"/>
    <mergeCell ref="M40:N40"/>
    <mergeCell ref="O40:P40"/>
    <mergeCell ref="Y35:Z35"/>
    <mergeCell ref="AA35:AB35"/>
    <mergeCell ref="AC35:AD35"/>
    <mergeCell ref="AE35:AF35"/>
    <mergeCell ref="AG35:AH35"/>
    <mergeCell ref="AI35:AJ35"/>
    <mergeCell ref="M35:N35"/>
    <mergeCell ref="O35:P35"/>
    <mergeCell ref="Q35:R35"/>
    <mergeCell ref="S35:T35"/>
    <mergeCell ref="U35:V35"/>
    <mergeCell ref="W35:X35"/>
    <mergeCell ref="A35:B35"/>
    <mergeCell ref="C35:D35"/>
    <mergeCell ref="E35:F35"/>
    <mergeCell ref="G35:H35"/>
    <mergeCell ref="I35:J35"/>
    <mergeCell ref="K35:L35"/>
    <mergeCell ref="AC26:AD26"/>
    <mergeCell ref="AE26:AF26"/>
    <mergeCell ref="AG26:AH26"/>
    <mergeCell ref="AI26:AJ26"/>
    <mergeCell ref="AK26:AL26"/>
    <mergeCell ref="AM26:AN26"/>
    <mergeCell ref="Q26:R26"/>
    <mergeCell ref="S26:T26"/>
    <mergeCell ref="U26:V26"/>
    <mergeCell ref="W26:X26"/>
    <mergeCell ref="Y26:Z26"/>
    <mergeCell ref="AA26:AB26"/>
    <mergeCell ref="AK15:AL15"/>
    <mergeCell ref="AM15:AN15"/>
    <mergeCell ref="A26:B26"/>
    <mergeCell ref="C26:D26"/>
    <mergeCell ref="E26:F26"/>
    <mergeCell ref="G26:H26"/>
    <mergeCell ref="I26:J26"/>
    <mergeCell ref="K26:L26"/>
    <mergeCell ref="M26:N26"/>
    <mergeCell ref="O26:P26"/>
    <mergeCell ref="Y15:Z15"/>
    <mergeCell ref="AA15:AB15"/>
    <mergeCell ref="AC15:AD15"/>
    <mergeCell ref="AE15:AF15"/>
    <mergeCell ref="AG15:AH15"/>
    <mergeCell ref="AI15:AJ15"/>
    <mergeCell ref="M15:N15"/>
    <mergeCell ref="O15:P15"/>
    <mergeCell ref="Q15:R15"/>
    <mergeCell ref="S15:T15"/>
    <mergeCell ref="U15:V15"/>
    <mergeCell ref="W15:X15"/>
    <mergeCell ref="A15:B15"/>
    <mergeCell ref="C15:D15"/>
    <mergeCell ref="E15:F15"/>
    <mergeCell ref="G15:H15"/>
    <mergeCell ref="I15:J15"/>
    <mergeCell ref="K15:L15"/>
    <mergeCell ref="AI4:AJ4"/>
    <mergeCell ref="AK4:AL4"/>
    <mergeCell ref="AM4:AN4"/>
    <mergeCell ref="BA4:BB4"/>
    <mergeCell ref="BC4:BD4"/>
    <mergeCell ref="BE4:BF4"/>
    <mergeCell ref="W4:X4"/>
    <mergeCell ref="Y4:Z4"/>
    <mergeCell ref="AA4:AB4"/>
    <mergeCell ref="AC4:AD4"/>
    <mergeCell ref="AE4:AF4"/>
    <mergeCell ref="AG4:AH4"/>
    <mergeCell ref="K4:L4"/>
    <mergeCell ref="M4:N4"/>
    <mergeCell ref="O4:P4"/>
    <mergeCell ref="Q4:R4"/>
    <mergeCell ref="S4:T4"/>
    <mergeCell ref="U4:V4"/>
    <mergeCell ref="A1:J2"/>
    <mergeCell ref="A4:B4"/>
    <mergeCell ref="C4:D4"/>
    <mergeCell ref="E4:F4"/>
    <mergeCell ref="G4:H4"/>
    <mergeCell ref="I4:J4"/>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123"/>
  <sheetViews>
    <sheetView workbookViewId="0">
      <selection activeCell="A7" sqref="A7"/>
    </sheetView>
  </sheetViews>
  <sheetFormatPr defaultColWidth="20.7109375" defaultRowHeight="15" x14ac:dyDescent="0.25"/>
  <cols>
    <col min="1" max="1" width="50.7109375" style="2" customWidth="1"/>
    <col min="2" max="2" width="10.7109375" style="2" customWidth="1"/>
    <col min="3" max="3" width="50.7109375" style="2" customWidth="1"/>
    <col min="4" max="4" width="10.7109375" style="2" customWidth="1"/>
    <col min="5" max="5" width="50.7109375" style="2" customWidth="1"/>
    <col min="6" max="6" width="10.7109375" style="2" customWidth="1"/>
    <col min="7" max="16384" width="20.7109375" style="1"/>
  </cols>
  <sheetData>
    <row r="1" spans="1:11" x14ac:dyDescent="0.25">
      <c r="A1" s="139" t="s">
        <v>496</v>
      </c>
      <c r="B1" s="139"/>
      <c r="C1" s="139"/>
      <c r="D1" s="139"/>
      <c r="E1" s="139"/>
      <c r="F1" s="139"/>
    </row>
    <row r="3" spans="1:11" x14ac:dyDescent="0.25">
      <c r="A3" s="96" t="s">
        <v>21</v>
      </c>
      <c r="B3" s="96"/>
      <c r="C3" s="96"/>
      <c r="D3" s="96"/>
      <c r="E3" s="96"/>
      <c r="F3" s="96"/>
      <c r="G3" s="26"/>
      <c r="H3" s="26"/>
      <c r="I3" s="26"/>
      <c r="J3" s="25"/>
      <c r="K3" s="25"/>
    </row>
    <row r="4" spans="1:11" x14ac:dyDescent="0.25">
      <c r="B4" s="85"/>
      <c r="C4" s="85"/>
      <c r="D4" s="85"/>
      <c r="E4" s="85"/>
      <c r="F4" s="85"/>
      <c r="G4" s="27"/>
      <c r="H4" s="27"/>
      <c r="I4" s="27"/>
      <c r="J4" s="24"/>
      <c r="K4" s="24"/>
    </row>
    <row r="5" spans="1:11" x14ac:dyDescent="0.25">
      <c r="A5" s="138" t="s">
        <v>1249</v>
      </c>
      <c r="B5" s="138"/>
      <c r="C5" s="138"/>
      <c r="D5" s="138"/>
      <c r="E5" s="138"/>
      <c r="F5" s="138"/>
    </row>
    <row r="6" spans="1:11" x14ac:dyDescent="0.25">
      <c r="A6" s="140" t="s">
        <v>341</v>
      </c>
      <c r="B6" s="140"/>
      <c r="C6" s="140" t="s">
        <v>342</v>
      </c>
      <c r="D6" s="140"/>
      <c r="E6" s="140" t="s">
        <v>343</v>
      </c>
      <c r="F6" s="140"/>
    </row>
    <row r="7" spans="1:11" x14ac:dyDescent="0.25">
      <c r="A7" s="2" t="s">
        <v>1240</v>
      </c>
      <c r="B7" s="77">
        <v>2</v>
      </c>
      <c r="C7" s="2" t="s">
        <v>1240</v>
      </c>
      <c r="D7" s="77">
        <v>0</v>
      </c>
      <c r="E7" s="2" t="s">
        <v>355</v>
      </c>
      <c r="F7" s="77">
        <v>1</v>
      </c>
    </row>
    <row r="8" spans="1:11" x14ac:dyDescent="0.25">
      <c r="B8" s="78"/>
      <c r="C8" s="2" t="s">
        <v>1241</v>
      </c>
      <c r="D8" s="78">
        <v>1</v>
      </c>
      <c r="F8" s="78"/>
    </row>
    <row r="9" spans="1:11" x14ac:dyDescent="0.25">
      <c r="B9" s="78"/>
      <c r="C9" s="2" t="s">
        <v>1256</v>
      </c>
      <c r="D9" s="78">
        <v>1</v>
      </c>
      <c r="F9" s="78"/>
    </row>
    <row r="10" spans="1:11" x14ac:dyDescent="0.25">
      <c r="B10" s="78"/>
      <c r="D10" s="78"/>
      <c r="F10" s="78"/>
    </row>
    <row r="11" spans="1:11" x14ac:dyDescent="0.25">
      <c r="B11" s="78"/>
      <c r="D11" s="78"/>
      <c r="F11" s="78"/>
    </row>
    <row r="12" spans="1:11" x14ac:dyDescent="0.25">
      <c r="B12" s="78"/>
      <c r="D12" s="78"/>
      <c r="F12" s="78"/>
    </row>
    <row r="13" spans="1:11" x14ac:dyDescent="0.25">
      <c r="B13" s="78"/>
      <c r="D13" s="78"/>
      <c r="F13" s="78"/>
    </row>
    <row r="14" spans="1:11" x14ac:dyDescent="0.25">
      <c r="B14" s="78"/>
      <c r="D14" s="78"/>
      <c r="F14" s="78"/>
    </row>
    <row r="15" spans="1:11" x14ac:dyDescent="0.25">
      <c r="B15" s="78"/>
      <c r="D15" s="78"/>
      <c r="F15" s="78"/>
    </row>
    <row r="16" spans="1:11" x14ac:dyDescent="0.25">
      <c r="B16" s="78"/>
      <c r="D16" s="78"/>
      <c r="F16" s="78"/>
    </row>
    <row r="17" spans="1:6" x14ac:dyDescent="0.25">
      <c r="A17" s="37"/>
      <c r="B17" s="79"/>
      <c r="C17" s="37"/>
      <c r="D17" s="79"/>
      <c r="E17" s="37"/>
      <c r="F17" s="79"/>
    </row>
    <row r="19" spans="1:6" x14ac:dyDescent="0.25">
      <c r="A19" s="141" t="s">
        <v>1250</v>
      </c>
      <c r="B19" s="141"/>
      <c r="C19" s="141"/>
      <c r="D19" s="141"/>
      <c r="E19" s="141"/>
      <c r="F19" s="141"/>
    </row>
    <row r="20" spans="1:6" x14ac:dyDescent="0.25">
      <c r="A20" s="140" t="s">
        <v>361</v>
      </c>
      <c r="B20" s="140"/>
      <c r="C20" s="140" t="s">
        <v>366</v>
      </c>
      <c r="D20" s="140"/>
      <c r="E20" s="140" t="s">
        <v>367</v>
      </c>
      <c r="F20" s="140"/>
    </row>
    <row r="21" spans="1:6" x14ac:dyDescent="0.25">
      <c r="A21" s="2" t="s">
        <v>1137</v>
      </c>
      <c r="B21" s="77">
        <v>2</v>
      </c>
      <c r="C21" s="2" t="s">
        <v>1158</v>
      </c>
      <c r="D21" s="77">
        <v>1</v>
      </c>
      <c r="E21" s="2" t="s">
        <v>1159</v>
      </c>
      <c r="F21" s="77">
        <v>1</v>
      </c>
    </row>
    <row r="22" spans="1:6" x14ac:dyDescent="0.25">
      <c r="A22" s="2" t="s">
        <v>1180</v>
      </c>
      <c r="B22" s="78">
        <v>0</v>
      </c>
      <c r="C22" s="2" t="s">
        <v>1138</v>
      </c>
      <c r="D22" s="78">
        <v>1</v>
      </c>
      <c r="F22" s="78"/>
    </row>
    <row r="23" spans="1:6" x14ac:dyDescent="0.25">
      <c r="A23" s="2" t="s">
        <v>1181</v>
      </c>
      <c r="B23" s="78">
        <v>0</v>
      </c>
      <c r="C23" s="2" t="s">
        <v>1139</v>
      </c>
      <c r="D23" s="78">
        <v>1</v>
      </c>
      <c r="F23" s="78"/>
    </row>
    <row r="24" spans="1:6" x14ac:dyDescent="0.25">
      <c r="B24" s="78"/>
      <c r="C24" s="2" t="s">
        <v>1182</v>
      </c>
      <c r="D24" s="78">
        <v>0</v>
      </c>
      <c r="F24" s="78"/>
    </row>
    <row r="25" spans="1:6" x14ac:dyDescent="0.25">
      <c r="B25" s="78"/>
      <c r="D25" s="78"/>
      <c r="F25" s="78"/>
    </row>
    <row r="26" spans="1:6" x14ac:dyDescent="0.25">
      <c r="B26" s="78"/>
      <c r="D26" s="78"/>
      <c r="F26" s="78"/>
    </row>
    <row r="27" spans="1:6" x14ac:dyDescent="0.25">
      <c r="B27" s="78"/>
      <c r="D27" s="78"/>
      <c r="F27" s="78"/>
    </row>
    <row r="28" spans="1:6" x14ac:dyDescent="0.25">
      <c r="B28" s="78"/>
      <c r="D28" s="78"/>
      <c r="F28" s="78"/>
    </row>
    <row r="29" spans="1:6" x14ac:dyDescent="0.25">
      <c r="B29" s="78"/>
      <c r="D29" s="78"/>
      <c r="F29" s="78"/>
    </row>
    <row r="30" spans="1:6" x14ac:dyDescent="0.25">
      <c r="B30" s="78"/>
      <c r="D30" s="78"/>
      <c r="F30" s="78"/>
    </row>
    <row r="31" spans="1:6" x14ac:dyDescent="0.25">
      <c r="A31" s="37"/>
      <c r="B31" s="79"/>
      <c r="C31" s="37"/>
      <c r="D31" s="79"/>
      <c r="E31" s="37"/>
      <c r="F31" s="79"/>
    </row>
    <row r="33" spans="1:6" x14ac:dyDescent="0.25">
      <c r="A33" s="141" t="s">
        <v>1251</v>
      </c>
      <c r="B33" s="141"/>
      <c r="C33" s="141"/>
      <c r="D33" s="141"/>
      <c r="E33" s="141"/>
      <c r="F33" s="141"/>
    </row>
    <row r="34" spans="1:6" x14ac:dyDescent="0.25">
      <c r="A34" s="86" t="s">
        <v>376</v>
      </c>
      <c r="B34" s="87">
        <v>1</v>
      </c>
      <c r="C34" s="86" t="s">
        <v>377</v>
      </c>
      <c r="D34" s="87">
        <v>1</v>
      </c>
      <c r="E34" s="86" t="s">
        <v>378</v>
      </c>
      <c r="F34" s="87"/>
    </row>
    <row r="35" spans="1:6" x14ac:dyDescent="0.25">
      <c r="B35" s="78"/>
      <c r="D35" s="78"/>
      <c r="F35" s="78"/>
    </row>
    <row r="36" spans="1:6" x14ac:dyDescent="0.25">
      <c r="B36" s="78"/>
      <c r="D36" s="78"/>
      <c r="F36" s="78"/>
    </row>
    <row r="37" spans="1:6" x14ac:dyDescent="0.25">
      <c r="B37" s="78"/>
      <c r="D37" s="78"/>
      <c r="F37" s="78"/>
    </row>
    <row r="38" spans="1:6" x14ac:dyDescent="0.25">
      <c r="B38" s="78"/>
      <c r="C38" s="88"/>
      <c r="D38" s="78"/>
      <c r="F38" s="78"/>
    </row>
    <row r="39" spans="1:6" x14ac:dyDescent="0.25">
      <c r="B39" s="78"/>
      <c r="C39" s="88"/>
      <c r="D39" s="78"/>
      <c r="F39" s="78"/>
    </row>
    <row r="40" spans="1:6" x14ac:dyDescent="0.25">
      <c r="B40" s="78"/>
      <c r="C40" s="88"/>
      <c r="D40" s="78"/>
      <c r="F40" s="78"/>
    </row>
    <row r="41" spans="1:6" x14ac:dyDescent="0.25">
      <c r="B41" s="78"/>
      <c r="C41" s="88"/>
      <c r="D41" s="78"/>
      <c r="F41" s="78"/>
    </row>
    <row r="42" spans="1:6" x14ac:dyDescent="0.25">
      <c r="B42" s="78"/>
      <c r="D42" s="78"/>
      <c r="F42" s="78"/>
    </row>
    <row r="43" spans="1:6" x14ac:dyDescent="0.25">
      <c r="A43" s="37"/>
      <c r="B43" s="79"/>
      <c r="C43" s="37"/>
      <c r="D43" s="79"/>
      <c r="E43" s="37"/>
      <c r="F43" s="79"/>
    </row>
    <row r="45" spans="1:6" x14ac:dyDescent="0.25">
      <c r="A45" s="89" t="s">
        <v>379</v>
      </c>
      <c r="B45" s="87"/>
      <c r="C45" s="86" t="s">
        <v>367</v>
      </c>
      <c r="D45" s="87"/>
      <c r="E45" s="86"/>
      <c r="F45" s="87"/>
    </row>
    <row r="46" spans="1:6" x14ac:dyDescent="0.25">
      <c r="B46" s="78"/>
      <c r="C46" s="2" t="s">
        <v>1257</v>
      </c>
      <c r="D46" s="78">
        <v>1</v>
      </c>
      <c r="F46" s="78"/>
    </row>
    <row r="47" spans="1:6" x14ac:dyDescent="0.25">
      <c r="B47" s="78"/>
      <c r="D47" s="78"/>
      <c r="F47" s="78"/>
    </row>
    <row r="48" spans="1:6" x14ac:dyDescent="0.25">
      <c r="B48" s="78"/>
      <c r="D48" s="78"/>
      <c r="F48" s="78"/>
    </row>
    <row r="49" spans="1:6" x14ac:dyDescent="0.25">
      <c r="B49" s="90"/>
      <c r="C49" s="88"/>
      <c r="D49" s="78"/>
      <c r="F49" s="78"/>
    </row>
    <row r="50" spans="1:6" x14ac:dyDescent="0.25">
      <c r="B50" s="90"/>
      <c r="C50" s="88"/>
      <c r="D50" s="78"/>
      <c r="F50" s="78"/>
    </row>
    <row r="51" spans="1:6" x14ac:dyDescent="0.25">
      <c r="B51" s="90"/>
      <c r="C51" s="88"/>
      <c r="D51" s="78"/>
      <c r="F51" s="78"/>
    </row>
    <row r="52" spans="1:6" x14ac:dyDescent="0.25">
      <c r="B52" s="90"/>
      <c r="C52" s="88"/>
      <c r="D52" s="78"/>
      <c r="F52" s="78"/>
    </row>
    <row r="53" spans="1:6" x14ac:dyDescent="0.25">
      <c r="B53" s="90"/>
      <c r="C53" s="88"/>
      <c r="D53" s="78"/>
      <c r="F53" s="78"/>
    </row>
    <row r="54" spans="1:6" x14ac:dyDescent="0.25">
      <c r="A54" s="37"/>
      <c r="B54" s="79"/>
      <c r="C54" s="37"/>
      <c r="D54" s="79"/>
      <c r="E54" s="37"/>
      <c r="F54" s="79"/>
    </row>
    <row r="56" spans="1:6" x14ac:dyDescent="0.25">
      <c r="A56" s="138" t="s">
        <v>18</v>
      </c>
      <c r="B56" s="138"/>
      <c r="C56" s="138"/>
      <c r="D56" s="138"/>
      <c r="E56" s="138"/>
      <c r="F56" s="138"/>
    </row>
    <row r="57" spans="1:6" x14ac:dyDescent="0.25">
      <c r="A57" s="140" t="s">
        <v>378</v>
      </c>
      <c r="B57" s="140"/>
      <c r="C57" s="140" t="s">
        <v>389</v>
      </c>
      <c r="D57" s="140"/>
      <c r="E57" s="140" t="s">
        <v>367</v>
      </c>
      <c r="F57" s="140"/>
    </row>
    <row r="58" spans="1:6" x14ac:dyDescent="0.25">
      <c r="A58" s="2" t="s">
        <v>1243</v>
      </c>
      <c r="B58" s="78">
        <v>2</v>
      </c>
      <c r="D58" s="78"/>
      <c r="E58" s="2" t="s">
        <v>1246</v>
      </c>
      <c r="F58" s="78">
        <v>1</v>
      </c>
    </row>
    <row r="59" spans="1:6" x14ac:dyDescent="0.25">
      <c r="A59" s="2" t="s">
        <v>1244</v>
      </c>
      <c r="B59" s="78">
        <v>1</v>
      </c>
      <c r="D59" s="78"/>
      <c r="F59" s="78"/>
    </row>
    <row r="60" spans="1:6" ht="30" x14ac:dyDescent="0.25">
      <c r="A60" s="2" t="s">
        <v>1247</v>
      </c>
      <c r="B60" s="78">
        <v>1</v>
      </c>
      <c r="D60" s="78"/>
      <c r="F60" s="78"/>
    </row>
    <row r="61" spans="1:6" x14ac:dyDescent="0.25">
      <c r="A61" s="2" t="s">
        <v>1258</v>
      </c>
      <c r="B61" s="78">
        <v>1</v>
      </c>
      <c r="D61" s="78"/>
      <c r="F61" s="78"/>
    </row>
    <row r="62" spans="1:6" x14ac:dyDescent="0.25">
      <c r="A62" s="2" t="s">
        <v>1259</v>
      </c>
      <c r="B62" s="78">
        <v>1</v>
      </c>
      <c r="D62" s="78"/>
      <c r="F62" s="78"/>
    </row>
    <row r="63" spans="1:6" x14ac:dyDescent="0.25">
      <c r="A63" s="2" t="s">
        <v>1260</v>
      </c>
      <c r="B63" s="78">
        <v>1</v>
      </c>
      <c r="D63" s="78"/>
      <c r="F63" s="78"/>
    </row>
    <row r="64" spans="1:6" x14ac:dyDescent="0.25">
      <c r="B64" s="78"/>
      <c r="D64" s="78"/>
      <c r="F64" s="78"/>
    </row>
    <row r="65" spans="1:6" x14ac:dyDescent="0.25">
      <c r="B65" s="78"/>
      <c r="D65" s="78"/>
      <c r="F65" s="78"/>
    </row>
    <row r="66" spans="1:6" x14ac:dyDescent="0.25">
      <c r="B66" s="78"/>
      <c r="D66" s="78"/>
      <c r="F66" s="78"/>
    </row>
    <row r="67" spans="1:6" x14ac:dyDescent="0.25">
      <c r="B67" s="78"/>
      <c r="D67" s="78"/>
      <c r="F67" s="78"/>
    </row>
    <row r="68" spans="1:6" x14ac:dyDescent="0.25">
      <c r="B68" s="78"/>
      <c r="D68" s="78"/>
      <c r="F68" s="78"/>
    </row>
    <row r="69" spans="1:6" x14ac:dyDescent="0.25">
      <c r="B69" s="78"/>
      <c r="D69" s="78"/>
      <c r="F69" s="78"/>
    </row>
    <row r="70" spans="1:6" x14ac:dyDescent="0.25">
      <c r="B70" s="78"/>
      <c r="D70" s="78"/>
      <c r="F70" s="78"/>
    </row>
    <row r="71" spans="1:6" x14ac:dyDescent="0.25">
      <c r="B71" s="78"/>
      <c r="D71" s="78"/>
      <c r="F71" s="78"/>
    </row>
    <row r="72" spans="1:6" x14ac:dyDescent="0.25">
      <c r="B72" s="78"/>
      <c r="D72" s="78"/>
      <c r="F72" s="78"/>
    </row>
    <row r="73" spans="1:6" x14ac:dyDescent="0.25">
      <c r="B73" s="78"/>
      <c r="D73" s="78"/>
      <c r="F73" s="78"/>
    </row>
    <row r="74" spans="1:6" x14ac:dyDescent="0.25">
      <c r="B74" s="78"/>
      <c r="D74" s="78"/>
      <c r="F74" s="78"/>
    </row>
    <row r="75" spans="1:6" x14ac:dyDescent="0.25">
      <c r="B75" s="78"/>
      <c r="D75" s="78"/>
      <c r="F75" s="78"/>
    </row>
    <row r="76" spans="1:6" x14ac:dyDescent="0.25">
      <c r="B76" s="78"/>
      <c r="D76" s="78"/>
      <c r="F76" s="78"/>
    </row>
    <row r="77" spans="1:6" x14ac:dyDescent="0.25">
      <c r="B77" s="78"/>
      <c r="D77" s="78"/>
      <c r="F77" s="78"/>
    </row>
    <row r="78" spans="1:6" x14ac:dyDescent="0.25">
      <c r="A78" s="37"/>
      <c r="B78" s="79"/>
      <c r="C78" s="37"/>
      <c r="D78" s="79"/>
      <c r="E78" s="37"/>
      <c r="F78" s="79"/>
    </row>
    <row r="81" spans="1:6" x14ac:dyDescent="0.25">
      <c r="A81" s="138" t="s">
        <v>19</v>
      </c>
      <c r="B81" s="138"/>
      <c r="C81" s="138"/>
      <c r="D81" s="138"/>
      <c r="E81" s="138"/>
      <c r="F81" s="138"/>
    </row>
    <row r="82" spans="1:6" x14ac:dyDescent="0.25">
      <c r="A82" s="140" t="s">
        <v>1245</v>
      </c>
      <c r="B82" s="140"/>
      <c r="C82" s="140" t="s">
        <v>419</v>
      </c>
      <c r="D82" s="140"/>
      <c r="E82" s="140" t="s">
        <v>420</v>
      </c>
      <c r="F82" s="140"/>
    </row>
    <row r="83" spans="1:6" ht="30" x14ac:dyDescent="0.25">
      <c r="A83" s="2" t="s">
        <v>1248</v>
      </c>
      <c r="B83" s="77">
        <v>1</v>
      </c>
      <c r="C83" s="2" t="s">
        <v>1144</v>
      </c>
      <c r="D83" s="77">
        <v>1</v>
      </c>
      <c r="E83" s="2" t="s">
        <v>1242</v>
      </c>
      <c r="F83" s="77">
        <v>1</v>
      </c>
    </row>
    <row r="84" spans="1:6" x14ac:dyDescent="0.25">
      <c r="A84" s="2" t="s">
        <v>1261</v>
      </c>
      <c r="B84" s="78">
        <v>1</v>
      </c>
      <c r="D84" s="78"/>
      <c r="F84" s="78"/>
    </row>
    <row r="85" spans="1:6" x14ac:dyDescent="0.25">
      <c r="B85" s="78"/>
      <c r="D85" s="78"/>
      <c r="F85" s="78"/>
    </row>
    <row r="86" spans="1:6" x14ac:dyDescent="0.25">
      <c r="B86" s="78"/>
      <c r="D86" s="78"/>
      <c r="F86" s="78"/>
    </row>
    <row r="87" spans="1:6" x14ac:dyDescent="0.25">
      <c r="B87" s="78"/>
      <c r="D87" s="78"/>
      <c r="F87" s="78"/>
    </row>
    <row r="88" spans="1:6" x14ac:dyDescent="0.25">
      <c r="B88" s="78"/>
      <c r="D88" s="78"/>
      <c r="F88" s="78"/>
    </row>
    <row r="89" spans="1:6" x14ac:dyDescent="0.25">
      <c r="B89" s="78"/>
      <c r="D89" s="78"/>
      <c r="F89" s="78"/>
    </row>
    <row r="90" spans="1:6" x14ac:dyDescent="0.25">
      <c r="B90" s="78"/>
      <c r="D90" s="78"/>
      <c r="F90" s="78"/>
    </row>
    <row r="91" spans="1:6" x14ac:dyDescent="0.25">
      <c r="B91" s="78"/>
      <c r="D91" s="78"/>
      <c r="F91" s="78"/>
    </row>
    <row r="92" spans="1:6" x14ac:dyDescent="0.25">
      <c r="B92" s="78"/>
      <c r="D92" s="78"/>
      <c r="F92" s="78"/>
    </row>
    <row r="93" spans="1:6" x14ac:dyDescent="0.25">
      <c r="A93" s="37"/>
      <c r="B93" s="79"/>
      <c r="C93" s="37"/>
      <c r="D93" s="79"/>
      <c r="E93" s="37"/>
      <c r="F93" s="79"/>
    </row>
    <row r="95" spans="1:6" x14ac:dyDescent="0.25">
      <c r="A95" s="99" t="s">
        <v>22</v>
      </c>
      <c r="B95" s="99"/>
      <c r="C95" s="99"/>
      <c r="D95" s="99"/>
      <c r="E95" s="99"/>
      <c r="F95" s="99"/>
    </row>
    <row r="96" spans="1:6" s="23" customFormat="1" x14ac:dyDescent="0.25">
      <c r="A96" s="91"/>
      <c r="B96" s="91"/>
      <c r="C96" s="91"/>
      <c r="D96" s="91"/>
      <c r="E96" s="91"/>
      <c r="F96" s="91"/>
    </row>
    <row r="97" spans="1:7" x14ac:dyDescent="0.25">
      <c r="A97" s="138" t="s">
        <v>20</v>
      </c>
      <c r="B97" s="138"/>
      <c r="C97" s="138"/>
      <c r="D97" s="138"/>
      <c r="E97" s="138"/>
      <c r="F97" s="138"/>
    </row>
    <row r="98" spans="1:7" ht="30" x14ac:dyDescent="0.25">
      <c r="A98" s="2" t="s">
        <v>1050</v>
      </c>
      <c r="B98" s="77">
        <v>1</v>
      </c>
      <c r="D98" s="77"/>
      <c r="F98" s="77"/>
      <c r="G98" s="32"/>
    </row>
    <row r="99" spans="1:7" x14ac:dyDescent="0.25">
      <c r="A99" s="2" t="s">
        <v>1177</v>
      </c>
      <c r="B99" s="78">
        <v>1</v>
      </c>
      <c r="D99" s="78"/>
      <c r="F99" s="78"/>
      <c r="G99" s="32"/>
    </row>
    <row r="100" spans="1:7" ht="30" x14ac:dyDescent="0.25">
      <c r="A100" s="2" t="s">
        <v>1165</v>
      </c>
      <c r="B100" s="78">
        <v>1</v>
      </c>
      <c r="D100" s="78"/>
      <c r="F100" s="78"/>
      <c r="G100" s="32"/>
    </row>
    <row r="101" spans="1:7" x14ac:dyDescent="0.25">
      <c r="B101" s="78"/>
      <c r="D101" s="78"/>
      <c r="F101" s="78"/>
      <c r="G101" s="32"/>
    </row>
    <row r="102" spans="1:7" x14ac:dyDescent="0.25">
      <c r="B102" s="78"/>
      <c r="D102" s="78"/>
      <c r="F102" s="78"/>
      <c r="G102" s="32"/>
    </row>
    <row r="103" spans="1:7" x14ac:dyDescent="0.25">
      <c r="B103" s="78"/>
      <c r="D103" s="78"/>
      <c r="F103" s="78"/>
      <c r="G103" s="32"/>
    </row>
    <row r="104" spans="1:7" x14ac:dyDescent="0.25">
      <c r="B104" s="78"/>
      <c r="D104" s="78"/>
      <c r="F104" s="78"/>
      <c r="G104" s="32"/>
    </row>
    <row r="105" spans="1:7" x14ac:dyDescent="0.25">
      <c r="B105" s="78"/>
      <c r="D105" s="78"/>
      <c r="F105" s="78"/>
      <c r="G105" s="32"/>
    </row>
    <row r="106" spans="1:7" x14ac:dyDescent="0.25">
      <c r="B106" s="78"/>
      <c r="D106" s="78"/>
      <c r="F106" s="78"/>
      <c r="G106" s="32"/>
    </row>
    <row r="107" spans="1:7" x14ac:dyDescent="0.25">
      <c r="B107" s="78"/>
      <c r="D107" s="78"/>
      <c r="F107" s="78"/>
      <c r="G107" s="32"/>
    </row>
    <row r="108" spans="1:7" x14ac:dyDescent="0.25">
      <c r="A108" s="37"/>
      <c r="B108" s="79"/>
      <c r="C108" s="37"/>
      <c r="D108" s="79"/>
      <c r="E108" s="37"/>
      <c r="F108" s="79"/>
      <c r="G108" s="32"/>
    </row>
    <row r="109" spans="1:7" x14ac:dyDescent="0.25">
      <c r="A109" s="91"/>
      <c r="B109" s="91"/>
      <c r="C109" s="91"/>
      <c r="D109" s="91"/>
      <c r="E109" s="91"/>
      <c r="F109" s="91"/>
      <c r="G109" s="32"/>
    </row>
    <row r="110" spans="1:7" x14ac:dyDescent="0.25">
      <c r="A110" s="90"/>
      <c r="B110" s="90"/>
      <c r="C110" s="90"/>
      <c r="D110" s="90"/>
      <c r="E110" s="90"/>
      <c r="F110" s="90"/>
      <c r="G110" s="32"/>
    </row>
    <row r="111" spans="1:7" x14ac:dyDescent="0.25">
      <c r="A111" s="99" t="s">
        <v>22</v>
      </c>
      <c r="B111" s="99"/>
      <c r="C111" s="99"/>
      <c r="D111" s="99"/>
      <c r="E111" s="99"/>
      <c r="F111" s="99"/>
    </row>
    <row r="112" spans="1:7" x14ac:dyDescent="0.25">
      <c r="A112" s="91"/>
      <c r="B112" s="91"/>
      <c r="C112" s="91"/>
      <c r="D112" s="91"/>
      <c r="E112" s="91"/>
      <c r="F112" s="91"/>
    </row>
    <row r="113" spans="1:6" x14ac:dyDescent="0.25">
      <c r="A113" s="138" t="s">
        <v>428</v>
      </c>
      <c r="B113" s="138"/>
      <c r="C113" s="143"/>
      <c r="D113" s="143"/>
      <c r="E113" s="143"/>
      <c r="F113" s="143"/>
    </row>
    <row r="114" spans="1:6" x14ac:dyDescent="0.25">
      <c r="A114" s="92" t="s">
        <v>426</v>
      </c>
      <c r="B114" s="92">
        <f xml:space="preserve"> COUNTIF('Key Questions'!$J$45:$J$48, $A114)</f>
        <v>4</v>
      </c>
      <c r="C114" s="90"/>
      <c r="D114" s="90"/>
      <c r="E114" s="144"/>
      <c r="F114" s="144"/>
    </row>
    <row r="115" spans="1:6" x14ac:dyDescent="0.25">
      <c r="A115" s="92" t="s">
        <v>427</v>
      </c>
      <c r="B115" s="92">
        <f xml:space="preserve"> COUNTIF('Key Questions'!$J$45:$J$48, $A115)</f>
        <v>0</v>
      </c>
      <c r="C115" s="90"/>
      <c r="D115" s="90"/>
      <c r="E115" s="94"/>
      <c r="F115" s="94"/>
    </row>
    <row r="117" spans="1:6" x14ac:dyDescent="0.25">
      <c r="A117" s="138" t="s">
        <v>24</v>
      </c>
      <c r="B117" s="138"/>
      <c r="C117" s="143"/>
      <c r="D117" s="143"/>
      <c r="E117" s="143"/>
      <c r="F117" s="143"/>
    </row>
    <row r="118" spans="1:6" x14ac:dyDescent="0.25">
      <c r="A118" s="92" t="s">
        <v>426</v>
      </c>
      <c r="B118" s="92">
        <f xml:space="preserve"> COUNTIF('Key Questions'!$K$45:$K$48, $A118)</f>
        <v>2</v>
      </c>
      <c r="C118" s="90"/>
      <c r="D118" s="90"/>
      <c r="E118" s="142"/>
      <c r="F118" s="142"/>
    </row>
    <row r="119" spans="1:6" x14ac:dyDescent="0.25">
      <c r="A119" s="92" t="s">
        <v>427</v>
      </c>
      <c r="B119" s="92">
        <f xml:space="preserve"> COUNTIF('Key Questions'!$K$45:$K$48, $A119)</f>
        <v>2</v>
      </c>
      <c r="C119" s="90"/>
      <c r="D119" s="90"/>
    </row>
    <row r="123" spans="1:6" ht="15" customHeight="1" x14ac:dyDescent="0.25"/>
  </sheetData>
  <mergeCells count="26">
    <mergeCell ref="E114:F114"/>
    <mergeCell ref="A117:F117"/>
    <mergeCell ref="E118:F118"/>
    <mergeCell ref="A95:F95"/>
    <mergeCell ref="A97:F97"/>
    <mergeCell ref="A111:F111"/>
    <mergeCell ref="A113:F113"/>
    <mergeCell ref="A57:B57"/>
    <mergeCell ref="C57:D57"/>
    <mergeCell ref="E57:F57"/>
    <mergeCell ref="A81:F81"/>
    <mergeCell ref="A82:B82"/>
    <mergeCell ref="C82:D82"/>
    <mergeCell ref="E82:F82"/>
    <mergeCell ref="A56:F56"/>
    <mergeCell ref="A1:F1"/>
    <mergeCell ref="A3:F3"/>
    <mergeCell ref="A5:F5"/>
    <mergeCell ref="A6:B6"/>
    <mergeCell ref="C6:D6"/>
    <mergeCell ref="E6:F6"/>
    <mergeCell ref="A19:F19"/>
    <mergeCell ref="A20:B20"/>
    <mergeCell ref="C20:D20"/>
    <mergeCell ref="E20:F20"/>
    <mergeCell ref="A33:F33"/>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G102"/>
  <sheetViews>
    <sheetView zoomScale="85" zoomScaleNormal="85" workbookViewId="0">
      <selection sqref="A1:J2"/>
    </sheetView>
  </sheetViews>
  <sheetFormatPr defaultRowHeight="15" x14ac:dyDescent="0.25"/>
  <cols>
    <col min="1" max="1" width="30.7109375" style="61" customWidth="1"/>
    <col min="2" max="2" width="9.140625" style="61"/>
    <col min="3" max="3" width="30.7109375" style="61" customWidth="1"/>
    <col min="4" max="4" width="9.140625" style="61"/>
    <col min="5" max="5" width="30.7109375" style="61" customWidth="1"/>
    <col min="6" max="6" width="9.140625" style="61"/>
    <col min="7" max="7" width="30.7109375" style="61" customWidth="1"/>
    <col min="8" max="8" width="9.140625" style="61"/>
    <col min="9" max="9" width="30.7109375" style="61" customWidth="1"/>
    <col min="10" max="10" width="9.140625" style="61"/>
    <col min="11" max="11" width="30.7109375" style="61" customWidth="1"/>
    <col min="12" max="12" width="9.140625" style="61"/>
    <col min="13" max="13" width="30.7109375" style="61" customWidth="1"/>
    <col min="14" max="14" width="9.140625" style="61"/>
    <col min="15" max="15" width="30.7109375" style="61" customWidth="1"/>
    <col min="16" max="16" width="9.140625" style="61"/>
    <col min="17" max="17" width="30.7109375" style="61" customWidth="1"/>
    <col min="18" max="18" width="9.140625" style="61"/>
    <col min="19" max="19" width="30.7109375" style="61" customWidth="1"/>
    <col min="20" max="20" width="9.140625" style="61"/>
    <col min="21" max="21" width="30.7109375" style="61" customWidth="1"/>
    <col min="22" max="22" width="9.140625" style="61"/>
    <col min="23" max="23" width="30.7109375" style="61" customWidth="1"/>
    <col min="24" max="24" width="9.140625" style="61"/>
    <col min="25" max="25" width="30.7109375" style="61" customWidth="1"/>
    <col min="26" max="26" width="9.140625" style="61"/>
    <col min="27" max="27" width="30.7109375" style="61" customWidth="1"/>
    <col min="28" max="28" width="9.140625" style="61" customWidth="1"/>
    <col min="29" max="29" width="30.7109375" style="61" customWidth="1"/>
    <col min="30" max="30" width="9.140625" style="61"/>
    <col min="31" max="31" width="30.7109375" style="61" customWidth="1"/>
    <col min="32" max="32" width="9.140625" style="61"/>
    <col min="33" max="33" width="30.7109375" style="61" customWidth="1"/>
    <col min="34" max="34" width="9.140625" style="61"/>
    <col min="35" max="35" width="30.7109375" style="61" customWidth="1"/>
    <col min="36" max="36" width="9.140625" style="61"/>
    <col min="37" max="37" width="30.7109375" style="61" customWidth="1"/>
    <col min="38" max="38" width="9.140625" style="61"/>
    <col min="39" max="39" width="30.7109375" style="61" customWidth="1"/>
    <col min="40" max="16384" width="9.140625" style="61"/>
  </cols>
  <sheetData>
    <row r="1" spans="1:59" x14ac:dyDescent="0.25">
      <c r="A1" s="137" t="s">
        <v>1272</v>
      </c>
      <c r="B1" s="137"/>
      <c r="C1" s="137"/>
      <c r="D1" s="137"/>
      <c r="E1" s="137"/>
      <c r="F1" s="137"/>
      <c r="G1" s="137"/>
      <c r="H1" s="137"/>
      <c r="I1" s="137"/>
      <c r="J1" s="137"/>
    </row>
    <row r="2" spans="1:59" x14ac:dyDescent="0.25">
      <c r="A2" s="137"/>
      <c r="B2" s="137"/>
      <c r="C2" s="137"/>
      <c r="D2" s="137"/>
      <c r="E2" s="137"/>
      <c r="F2" s="137"/>
      <c r="G2" s="137"/>
      <c r="H2" s="137"/>
      <c r="I2" s="137"/>
      <c r="J2" s="137"/>
    </row>
    <row r="4" spans="1:59" s="80" customFormat="1" x14ac:dyDescent="0.25">
      <c r="A4" s="135">
        <v>1</v>
      </c>
      <c r="B4" s="135"/>
      <c r="C4" s="135">
        <f>A4+1</f>
        <v>2</v>
      </c>
      <c r="D4" s="135"/>
      <c r="E4" s="135">
        <f t="shared" ref="E4" si="0">C4+1</f>
        <v>3</v>
      </c>
      <c r="F4" s="135"/>
      <c r="G4" s="135">
        <f t="shared" ref="G4" si="1">E4+1</f>
        <v>4</v>
      </c>
      <c r="H4" s="135"/>
      <c r="I4" s="135">
        <f t="shared" ref="I4" si="2">G4+1</f>
        <v>5</v>
      </c>
      <c r="J4" s="135"/>
      <c r="K4" s="135">
        <f t="shared" ref="K4" si="3">I4+1</f>
        <v>6</v>
      </c>
      <c r="L4" s="135"/>
      <c r="M4" s="135">
        <f t="shared" ref="M4" si="4">K4+1</f>
        <v>7</v>
      </c>
      <c r="N4" s="135"/>
      <c r="O4" s="135">
        <f t="shared" ref="O4" si="5">M4+1</f>
        <v>8</v>
      </c>
      <c r="P4" s="135"/>
      <c r="Q4" s="135">
        <f t="shared" ref="Q4" si="6">O4+1</f>
        <v>9</v>
      </c>
      <c r="R4" s="135"/>
      <c r="S4" s="135">
        <f t="shared" ref="S4" si="7">Q4+1</f>
        <v>10</v>
      </c>
      <c r="T4" s="135"/>
      <c r="U4" s="135">
        <f t="shared" ref="U4" si="8">S4+1</f>
        <v>11</v>
      </c>
      <c r="V4" s="135"/>
      <c r="W4" s="135">
        <f t="shared" ref="W4" si="9">U4+1</f>
        <v>12</v>
      </c>
      <c r="X4" s="135"/>
      <c r="Y4" s="135">
        <f t="shared" ref="Y4" si="10">W4+1</f>
        <v>13</v>
      </c>
      <c r="Z4" s="135"/>
      <c r="AA4" s="135">
        <f t="shared" ref="AA4" si="11">Y4+1</f>
        <v>14</v>
      </c>
      <c r="AB4" s="135"/>
      <c r="AC4" s="135">
        <f t="shared" ref="AC4" si="12">AA4+1</f>
        <v>15</v>
      </c>
      <c r="AD4" s="135"/>
      <c r="AE4" s="135">
        <f t="shared" ref="AE4" si="13">AC4+1</f>
        <v>16</v>
      </c>
      <c r="AF4" s="135"/>
      <c r="AG4" s="135">
        <f t="shared" ref="AG4" si="14">AE4+1</f>
        <v>17</v>
      </c>
      <c r="AH4" s="135"/>
      <c r="AI4" s="135">
        <f t="shared" ref="AI4" si="15">AG4+1</f>
        <v>18</v>
      </c>
      <c r="AJ4" s="135"/>
      <c r="AK4" s="135">
        <f t="shared" ref="AK4" si="16">AI4+1</f>
        <v>19</v>
      </c>
      <c r="AL4" s="135"/>
      <c r="AM4" s="135">
        <f t="shared" ref="AM4" si="17">AK4+1</f>
        <v>20</v>
      </c>
      <c r="AN4" s="135"/>
      <c r="BA4" s="136"/>
      <c r="BB4" s="136"/>
      <c r="BC4" s="136"/>
      <c r="BD4" s="136"/>
      <c r="BE4" s="136"/>
      <c r="BF4" s="136"/>
      <c r="BG4" s="95"/>
    </row>
    <row r="5" spans="1:59" x14ac:dyDescent="0.25">
      <c r="A5" s="60"/>
      <c r="B5" s="82"/>
      <c r="C5" s="60"/>
      <c r="D5" s="82"/>
      <c r="E5" s="60"/>
      <c r="F5" s="82"/>
      <c r="G5" s="60"/>
      <c r="H5" s="82"/>
      <c r="I5" s="60"/>
      <c r="J5" s="82"/>
      <c r="K5" s="60"/>
      <c r="L5" s="82"/>
      <c r="M5" s="60"/>
      <c r="N5" s="82"/>
      <c r="O5" s="60"/>
      <c r="P5" s="82"/>
      <c r="Q5" s="60"/>
      <c r="R5" s="82"/>
      <c r="S5" s="60"/>
      <c r="T5" s="82"/>
      <c r="U5" s="60"/>
      <c r="V5" s="82"/>
      <c r="W5" s="60"/>
      <c r="X5" s="82"/>
      <c r="Y5" s="60"/>
      <c r="Z5" s="82"/>
      <c r="AA5" s="60"/>
      <c r="AB5" s="82"/>
      <c r="AC5" s="60"/>
      <c r="AD5" s="82"/>
      <c r="AE5" s="60"/>
      <c r="AF5" s="82"/>
      <c r="AG5" s="60"/>
      <c r="AH5" s="82"/>
      <c r="AI5" s="60"/>
      <c r="AJ5" s="82"/>
      <c r="AK5" s="60"/>
      <c r="AL5" s="82"/>
      <c r="AM5" s="60"/>
      <c r="AN5" s="82"/>
    </row>
    <row r="6" spans="1:59" x14ac:dyDescent="0.25">
      <c r="B6" s="82"/>
      <c r="C6" s="60"/>
      <c r="D6" s="82"/>
      <c r="F6" s="82"/>
      <c r="G6" s="60"/>
      <c r="H6" s="82"/>
      <c r="I6" s="60"/>
      <c r="J6" s="82"/>
      <c r="K6" s="60"/>
      <c r="L6" s="82"/>
      <c r="M6" s="60"/>
      <c r="N6" s="82"/>
      <c r="O6" s="60"/>
      <c r="P6" s="82"/>
      <c r="Q6" s="60"/>
      <c r="R6" s="82"/>
      <c r="S6" s="60"/>
      <c r="T6" s="82"/>
      <c r="U6" s="60"/>
      <c r="V6" s="82"/>
      <c r="W6" s="60"/>
      <c r="X6" s="82"/>
      <c r="Y6" s="60"/>
      <c r="Z6" s="82"/>
      <c r="AA6" s="60"/>
      <c r="AB6" s="82"/>
      <c r="AC6" s="60"/>
      <c r="AD6" s="82"/>
      <c r="AE6" s="60"/>
      <c r="AF6" s="82"/>
      <c r="AG6" s="60"/>
      <c r="AH6" s="82"/>
      <c r="AI6" s="60"/>
      <c r="AJ6" s="82"/>
      <c r="AK6" s="60"/>
      <c r="AL6" s="82"/>
      <c r="AM6" s="60"/>
      <c r="AN6" s="82"/>
    </row>
    <row r="7" spans="1:59" x14ac:dyDescent="0.25">
      <c r="A7" s="63"/>
      <c r="B7" s="83"/>
      <c r="C7" s="63"/>
      <c r="D7" s="83"/>
      <c r="E7" s="63"/>
      <c r="F7" s="83"/>
      <c r="G7" s="63"/>
      <c r="H7" s="83"/>
      <c r="I7" s="63"/>
      <c r="J7" s="83"/>
      <c r="K7" s="63"/>
      <c r="L7" s="83"/>
      <c r="M7" s="63"/>
      <c r="N7" s="83"/>
      <c r="O7" s="63"/>
      <c r="P7" s="83"/>
      <c r="Q7" s="63"/>
      <c r="R7" s="83"/>
      <c r="S7" s="63"/>
      <c r="T7" s="63"/>
      <c r="U7" s="84"/>
      <c r="V7" s="83"/>
      <c r="W7" s="63"/>
      <c r="X7" s="83"/>
      <c r="Y7" s="63"/>
      <c r="Z7" s="83"/>
      <c r="AA7" s="63"/>
      <c r="AB7" s="83"/>
      <c r="AC7" s="63"/>
      <c r="AD7" s="83"/>
      <c r="AE7" s="63"/>
      <c r="AF7" s="83"/>
      <c r="AG7" s="63"/>
      <c r="AH7" s="83"/>
      <c r="AI7" s="63"/>
      <c r="AJ7" s="83"/>
      <c r="AK7" s="63"/>
      <c r="AL7" s="83"/>
      <c r="AM7" s="63"/>
      <c r="AN7" s="83"/>
    </row>
    <row r="9" spans="1:59" x14ac:dyDescent="0.25">
      <c r="AO9" s="60"/>
      <c r="AP9" s="60"/>
      <c r="AQ9" s="60"/>
      <c r="AR9" s="60"/>
      <c r="AS9" s="60"/>
      <c r="AT9" s="60"/>
      <c r="AU9" s="60"/>
    </row>
    <row r="10" spans="1:59" x14ac:dyDescent="0.25">
      <c r="A10" s="135">
        <v>21</v>
      </c>
      <c r="B10" s="135"/>
      <c r="C10" s="135">
        <f>A10+1</f>
        <v>22</v>
      </c>
      <c r="D10" s="135"/>
      <c r="E10" s="135">
        <f t="shared" ref="E10" si="18">C10+1</f>
        <v>23</v>
      </c>
      <c r="F10" s="135"/>
      <c r="G10" s="135">
        <f t="shared" ref="G10" si="19">E10+1</f>
        <v>24</v>
      </c>
      <c r="H10" s="135"/>
      <c r="I10" s="135">
        <f t="shared" ref="I10" si="20">G10+1</f>
        <v>25</v>
      </c>
      <c r="J10" s="135"/>
      <c r="K10" s="135">
        <f t="shared" ref="K10" si="21">I10+1</f>
        <v>26</v>
      </c>
      <c r="L10" s="135"/>
      <c r="M10" s="135">
        <f t="shared" ref="M10" si="22">K10+1</f>
        <v>27</v>
      </c>
      <c r="N10" s="135"/>
      <c r="O10" s="135">
        <f t="shared" ref="O10" si="23">M10+1</f>
        <v>28</v>
      </c>
      <c r="P10" s="135"/>
      <c r="Q10" s="135">
        <f t="shared" ref="Q10" si="24">O10+1</f>
        <v>29</v>
      </c>
      <c r="R10" s="135"/>
      <c r="S10" s="135">
        <f t="shared" ref="S10" si="25">Q10+1</f>
        <v>30</v>
      </c>
      <c r="T10" s="135"/>
      <c r="U10" s="135">
        <f t="shared" ref="U10" si="26">S10+1</f>
        <v>31</v>
      </c>
      <c r="V10" s="135"/>
      <c r="W10" s="135">
        <f t="shared" ref="W10" si="27">U10+1</f>
        <v>32</v>
      </c>
      <c r="X10" s="135"/>
      <c r="Y10" s="135">
        <f t="shared" ref="Y10" si="28">W10+1</f>
        <v>33</v>
      </c>
      <c r="Z10" s="135"/>
      <c r="AA10" s="135">
        <f t="shared" ref="AA10" si="29">Y10+1</f>
        <v>34</v>
      </c>
      <c r="AB10" s="135"/>
      <c r="AC10" s="135">
        <f t="shared" ref="AC10" si="30">AA10+1</f>
        <v>35</v>
      </c>
      <c r="AD10" s="135"/>
      <c r="AE10" s="135">
        <f t="shared" ref="AE10" si="31">AC10+1</f>
        <v>36</v>
      </c>
      <c r="AF10" s="135"/>
      <c r="AG10" s="135">
        <f t="shared" ref="AG10" si="32">AE10+1</f>
        <v>37</v>
      </c>
      <c r="AH10" s="135"/>
      <c r="AI10" s="135">
        <f t="shared" ref="AI10" si="33">AG10+1</f>
        <v>38</v>
      </c>
      <c r="AJ10" s="135"/>
      <c r="AK10" s="135">
        <f t="shared" ref="AK10" si="34">AI10+1</f>
        <v>39</v>
      </c>
      <c r="AL10" s="135"/>
      <c r="AM10" s="135">
        <f t="shared" ref="AM10" si="35">AK10+1</f>
        <v>40</v>
      </c>
      <c r="AN10" s="135"/>
      <c r="AO10" s="60"/>
      <c r="AP10" s="60"/>
      <c r="AQ10" s="60"/>
      <c r="AR10" s="60"/>
      <c r="AS10" s="60"/>
      <c r="AT10" s="60"/>
      <c r="AU10" s="60"/>
    </row>
    <row r="11" spans="1:59" ht="75" x14ac:dyDescent="0.25">
      <c r="A11" s="60" t="s">
        <v>1267</v>
      </c>
      <c r="B11" s="82">
        <v>1</v>
      </c>
      <c r="C11" s="60" t="s">
        <v>1267</v>
      </c>
      <c r="D11" s="82">
        <v>1</v>
      </c>
      <c r="E11" s="60"/>
      <c r="F11" s="82"/>
      <c r="G11" s="60"/>
      <c r="H11" s="82"/>
      <c r="I11" s="60"/>
      <c r="J11" s="82"/>
      <c r="K11" s="60"/>
      <c r="L11" s="82"/>
      <c r="M11" s="60" t="s">
        <v>1269</v>
      </c>
      <c r="N11" s="82">
        <v>1</v>
      </c>
      <c r="O11" s="60" t="s">
        <v>1273</v>
      </c>
      <c r="P11" s="82">
        <v>1</v>
      </c>
      <c r="Q11" s="60"/>
      <c r="R11" s="82"/>
      <c r="S11" s="60"/>
      <c r="T11" s="82"/>
      <c r="U11" s="60"/>
      <c r="V11" s="82"/>
      <c r="W11" s="60"/>
      <c r="X11" s="82"/>
      <c r="Y11" s="60" t="s">
        <v>1275</v>
      </c>
      <c r="Z11" s="82">
        <v>1</v>
      </c>
      <c r="AA11" s="60"/>
      <c r="AB11" s="82"/>
      <c r="AC11" s="60"/>
      <c r="AD11" s="82"/>
      <c r="AE11" s="60"/>
      <c r="AF11" s="82"/>
      <c r="AG11" s="60"/>
      <c r="AH11" s="82"/>
      <c r="AI11" s="60"/>
      <c r="AJ11" s="82"/>
      <c r="AK11" s="60"/>
      <c r="AL11" s="82"/>
      <c r="AM11" s="60"/>
      <c r="AN11" s="82"/>
      <c r="AO11" s="60"/>
      <c r="AP11" s="60"/>
      <c r="AQ11" s="60"/>
      <c r="AR11" s="60"/>
      <c r="AS11" s="60"/>
      <c r="AT11" s="60"/>
      <c r="AU11" s="60"/>
    </row>
    <row r="12" spans="1:59" ht="60" x14ac:dyDescent="0.25">
      <c r="A12" s="60" t="s">
        <v>1262</v>
      </c>
      <c r="B12" s="82">
        <v>1</v>
      </c>
      <c r="C12" s="60"/>
      <c r="D12" s="82"/>
      <c r="E12" s="60"/>
      <c r="F12" s="82"/>
      <c r="G12" s="60"/>
      <c r="H12" s="82"/>
      <c r="I12" s="60"/>
      <c r="J12" s="82"/>
      <c r="K12" s="60"/>
      <c r="L12" s="82"/>
      <c r="M12" s="60" t="s">
        <v>1268</v>
      </c>
      <c r="N12" s="82">
        <v>1</v>
      </c>
      <c r="O12" s="60" t="s">
        <v>1274</v>
      </c>
      <c r="P12" s="82">
        <v>1</v>
      </c>
      <c r="Q12" s="60"/>
      <c r="R12" s="82"/>
      <c r="S12" s="60"/>
      <c r="T12" s="82"/>
      <c r="U12" s="60"/>
      <c r="V12" s="82"/>
      <c r="W12" s="60"/>
      <c r="X12" s="82"/>
      <c r="Y12" s="60"/>
      <c r="Z12" s="82"/>
      <c r="AA12" s="60"/>
      <c r="AB12" s="82"/>
      <c r="AC12" s="60"/>
      <c r="AD12" s="82"/>
      <c r="AE12" s="60"/>
      <c r="AF12" s="82"/>
      <c r="AG12" s="60"/>
      <c r="AH12" s="82"/>
      <c r="AI12" s="60"/>
      <c r="AJ12" s="82"/>
      <c r="AK12" s="60"/>
      <c r="AL12" s="82"/>
      <c r="AM12" s="60"/>
      <c r="AN12" s="82"/>
      <c r="AO12" s="60"/>
      <c r="AP12" s="60"/>
      <c r="AQ12" s="60"/>
      <c r="AR12" s="60"/>
      <c r="AS12" s="60"/>
      <c r="AT12" s="60"/>
      <c r="AU12" s="60"/>
    </row>
    <row r="13" spans="1:59" ht="30" x14ac:dyDescent="0.25">
      <c r="A13" s="60"/>
      <c r="B13" s="82"/>
      <c r="C13" s="60"/>
      <c r="D13" s="82"/>
      <c r="E13" s="60"/>
      <c r="F13" s="82"/>
      <c r="G13" s="60"/>
      <c r="H13" s="82"/>
      <c r="I13" s="60"/>
      <c r="J13" s="82"/>
      <c r="K13" s="60"/>
      <c r="L13" s="82"/>
      <c r="M13" s="60"/>
      <c r="N13" s="82"/>
      <c r="O13" s="60" t="s">
        <v>1271</v>
      </c>
      <c r="P13" s="82">
        <v>1</v>
      </c>
      <c r="Q13" s="60"/>
      <c r="R13" s="82"/>
      <c r="S13" s="60"/>
      <c r="T13" s="82"/>
      <c r="U13" s="60"/>
      <c r="V13" s="82"/>
      <c r="W13" s="60"/>
      <c r="X13" s="82"/>
      <c r="Y13" s="60"/>
      <c r="Z13" s="82"/>
      <c r="AA13" s="60"/>
      <c r="AB13" s="82"/>
      <c r="AC13" s="60"/>
      <c r="AD13" s="82"/>
      <c r="AE13" s="60"/>
      <c r="AF13" s="82"/>
      <c r="AG13" s="60"/>
      <c r="AH13" s="82"/>
      <c r="AI13" s="60"/>
      <c r="AJ13" s="82"/>
      <c r="AK13" s="60"/>
      <c r="AL13" s="82"/>
      <c r="AM13" s="60"/>
      <c r="AN13" s="82"/>
      <c r="AO13" s="60"/>
      <c r="AP13" s="60"/>
      <c r="AQ13" s="60"/>
      <c r="AR13" s="60"/>
      <c r="AS13" s="60"/>
      <c r="AT13" s="60"/>
      <c r="AU13" s="60"/>
    </row>
    <row r="14" spans="1:59" ht="45" x14ac:dyDescent="0.25">
      <c r="A14" s="60"/>
      <c r="B14" s="82"/>
      <c r="C14" s="60"/>
      <c r="D14" s="82"/>
      <c r="E14" s="60"/>
      <c r="F14" s="82"/>
      <c r="G14" s="60"/>
      <c r="H14" s="82"/>
      <c r="I14" s="60"/>
      <c r="J14" s="82"/>
      <c r="K14" s="60"/>
      <c r="L14" s="82"/>
      <c r="M14" s="60"/>
      <c r="N14" s="82"/>
      <c r="O14" s="60" t="s">
        <v>1270</v>
      </c>
      <c r="P14" s="82">
        <v>1</v>
      </c>
      <c r="Q14" s="60"/>
      <c r="R14" s="82"/>
      <c r="S14" s="60"/>
      <c r="T14" s="82"/>
      <c r="U14" s="60"/>
      <c r="V14" s="82"/>
      <c r="W14" s="60"/>
      <c r="X14" s="82"/>
      <c r="Y14" s="60"/>
      <c r="Z14" s="82"/>
      <c r="AA14" s="60"/>
      <c r="AB14" s="82"/>
      <c r="AC14" s="60"/>
      <c r="AD14" s="82"/>
      <c r="AE14" s="60"/>
      <c r="AF14" s="82"/>
      <c r="AG14" s="60"/>
      <c r="AH14" s="82"/>
      <c r="AI14" s="60"/>
      <c r="AJ14" s="82"/>
      <c r="AK14" s="60"/>
      <c r="AL14" s="82"/>
      <c r="AM14" s="60"/>
      <c r="AN14" s="82"/>
      <c r="AO14" s="60"/>
      <c r="AP14" s="60"/>
      <c r="AQ14" s="60"/>
      <c r="AR14" s="60"/>
      <c r="AS14" s="60"/>
      <c r="AT14" s="60"/>
      <c r="AU14" s="60"/>
    </row>
    <row r="15" spans="1:59" ht="45" x14ac:dyDescent="0.25">
      <c r="A15" s="60"/>
      <c r="B15" s="82"/>
      <c r="C15" s="60"/>
      <c r="D15" s="82"/>
      <c r="E15" s="60"/>
      <c r="F15" s="82"/>
      <c r="G15" s="60"/>
      <c r="H15" s="82"/>
      <c r="I15" s="60"/>
      <c r="J15" s="82"/>
      <c r="K15" s="60"/>
      <c r="L15" s="82"/>
      <c r="M15" s="60"/>
      <c r="N15" s="82"/>
      <c r="O15" s="60" t="s">
        <v>1237</v>
      </c>
      <c r="P15" s="82">
        <v>1</v>
      </c>
      <c r="Q15" s="60"/>
      <c r="R15" s="82"/>
      <c r="S15" s="60"/>
      <c r="T15" s="82"/>
      <c r="U15" s="60"/>
      <c r="V15" s="82"/>
      <c r="W15" s="60"/>
      <c r="X15" s="82"/>
      <c r="Y15" s="60"/>
      <c r="Z15" s="82"/>
      <c r="AA15" s="60"/>
      <c r="AB15" s="82"/>
      <c r="AC15" s="60"/>
      <c r="AD15" s="82"/>
      <c r="AE15" s="60"/>
      <c r="AF15" s="82"/>
      <c r="AG15" s="60"/>
      <c r="AH15" s="82"/>
      <c r="AI15" s="60"/>
      <c r="AJ15" s="82"/>
      <c r="AK15" s="60"/>
      <c r="AL15" s="82"/>
      <c r="AM15" s="60"/>
      <c r="AN15" s="82"/>
      <c r="AO15" s="60"/>
      <c r="AP15" s="60"/>
      <c r="AQ15" s="60"/>
      <c r="AR15" s="60"/>
      <c r="AS15" s="60"/>
      <c r="AT15" s="60"/>
      <c r="AU15" s="60"/>
    </row>
    <row r="16" spans="1:59" x14ac:dyDescent="0.25">
      <c r="A16" s="60"/>
      <c r="B16" s="82"/>
      <c r="C16" s="60"/>
      <c r="D16" s="82"/>
      <c r="E16" s="60"/>
      <c r="F16" s="82"/>
      <c r="G16" s="60"/>
      <c r="H16" s="82"/>
      <c r="I16" s="60"/>
      <c r="J16" s="82"/>
      <c r="K16" s="60"/>
      <c r="L16" s="82"/>
      <c r="M16" s="60"/>
      <c r="N16" s="82"/>
      <c r="O16" s="60"/>
      <c r="P16" s="82"/>
      <c r="Q16" s="60"/>
      <c r="R16" s="82"/>
      <c r="S16" s="60"/>
      <c r="T16" s="82"/>
      <c r="U16" s="60"/>
      <c r="V16" s="82"/>
      <c r="W16" s="60"/>
      <c r="X16" s="82"/>
      <c r="Y16" s="60"/>
      <c r="Z16" s="82"/>
      <c r="AA16" s="60"/>
      <c r="AB16" s="82"/>
      <c r="AC16" s="60"/>
      <c r="AD16" s="82"/>
      <c r="AE16" s="60"/>
      <c r="AF16" s="82"/>
      <c r="AG16" s="60"/>
      <c r="AH16" s="82"/>
      <c r="AI16" s="60"/>
      <c r="AJ16" s="82"/>
      <c r="AK16" s="60"/>
      <c r="AL16" s="82"/>
      <c r="AM16" s="60"/>
      <c r="AN16" s="82"/>
      <c r="AO16" s="60"/>
      <c r="AP16" s="60"/>
      <c r="AQ16" s="60"/>
      <c r="AR16" s="60"/>
      <c r="AS16" s="60"/>
      <c r="AT16" s="60"/>
      <c r="AU16" s="60"/>
    </row>
    <row r="17" spans="1:47" x14ac:dyDescent="0.25">
      <c r="A17" s="63"/>
      <c r="B17" s="83"/>
      <c r="C17" s="63"/>
      <c r="D17" s="83"/>
      <c r="E17" s="63"/>
      <c r="F17" s="83"/>
      <c r="G17" s="63"/>
      <c r="H17" s="83"/>
      <c r="I17" s="63"/>
      <c r="J17" s="83"/>
      <c r="K17" s="63"/>
      <c r="L17" s="83"/>
      <c r="M17" s="63"/>
      <c r="N17" s="83"/>
      <c r="O17" s="63"/>
      <c r="P17" s="83"/>
      <c r="Q17" s="63"/>
      <c r="R17" s="83"/>
      <c r="S17" s="63"/>
      <c r="T17" s="83"/>
      <c r="U17" s="63"/>
      <c r="V17" s="83"/>
      <c r="W17" s="63"/>
      <c r="X17" s="83"/>
      <c r="Y17" s="63"/>
      <c r="Z17" s="83"/>
      <c r="AA17" s="63"/>
      <c r="AB17" s="83"/>
      <c r="AC17" s="63"/>
      <c r="AD17" s="83"/>
      <c r="AE17" s="63"/>
      <c r="AF17" s="83"/>
      <c r="AG17" s="63"/>
      <c r="AH17" s="83"/>
      <c r="AI17" s="63"/>
      <c r="AJ17" s="83"/>
      <c r="AK17" s="63"/>
      <c r="AL17" s="83"/>
      <c r="AM17" s="63"/>
      <c r="AN17" s="83"/>
      <c r="AO17" s="60"/>
      <c r="AP17" s="60"/>
      <c r="AQ17" s="60"/>
      <c r="AR17" s="60"/>
      <c r="AS17" s="60"/>
      <c r="AT17" s="60"/>
      <c r="AU17" s="60"/>
    </row>
    <row r="18" spans="1:47" x14ac:dyDescent="0.25">
      <c r="AO18" s="60"/>
      <c r="AP18" s="60"/>
      <c r="AQ18" s="60"/>
      <c r="AR18" s="60"/>
      <c r="AS18" s="60"/>
      <c r="AT18" s="60"/>
      <c r="AU18" s="60"/>
    </row>
    <row r="19" spans="1:47" x14ac:dyDescent="0.25">
      <c r="AO19" s="60"/>
      <c r="AP19" s="60"/>
      <c r="AQ19" s="60"/>
      <c r="AR19" s="60"/>
      <c r="AS19" s="60"/>
      <c r="AT19" s="60"/>
      <c r="AU19" s="60"/>
    </row>
    <row r="20" spans="1:47" x14ac:dyDescent="0.25">
      <c r="A20" s="135">
        <v>41</v>
      </c>
      <c r="B20" s="135"/>
      <c r="C20" s="135">
        <f>A20+1</f>
        <v>42</v>
      </c>
      <c r="D20" s="135"/>
      <c r="E20" s="135">
        <f t="shared" ref="E20" si="36">C20+1</f>
        <v>43</v>
      </c>
      <c r="F20" s="135"/>
      <c r="G20" s="135">
        <f t="shared" ref="G20" si="37">E20+1</f>
        <v>44</v>
      </c>
      <c r="H20" s="135"/>
      <c r="I20" s="135">
        <f t="shared" ref="I20" si="38">G20+1</f>
        <v>45</v>
      </c>
      <c r="J20" s="135"/>
      <c r="K20" s="135">
        <f t="shared" ref="K20" si="39">I20+1</f>
        <v>46</v>
      </c>
      <c r="L20" s="135"/>
      <c r="M20" s="135">
        <f t="shared" ref="M20" si="40">K20+1</f>
        <v>47</v>
      </c>
      <c r="N20" s="135"/>
      <c r="O20" s="135">
        <f t="shared" ref="O20" si="41">M20+1</f>
        <v>48</v>
      </c>
      <c r="P20" s="135"/>
      <c r="Q20" s="135">
        <f t="shared" ref="Q20" si="42">O20+1</f>
        <v>49</v>
      </c>
      <c r="R20" s="135"/>
      <c r="S20" s="135">
        <f t="shared" ref="S20" si="43">Q20+1</f>
        <v>50</v>
      </c>
      <c r="T20" s="135"/>
      <c r="U20" s="135">
        <f t="shared" ref="U20" si="44">S20+1</f>
        <v>51</v>
      </c>
      <c r="V20" s="135"/>
      <c r="W20" s="135">
        <f t="shared" ref="W20" si="45">U20+1</f>
        <v>52</v>
      </c>
      <c r="X20" s="135"/>
      <c r="Y20" s="135">
        <f t="shared" ref="Y20" si="46">W20+1</f>
        <v>53</v>
      </c>
      <c r="Z20" s="135"/>
      <c r="AA20" s="135">
        <f t="shared" ref="AA20" si="47">Y20+1</f>
        <v>54</v>
      </c>
      <c r="AB20" s="135"/>
      <c r="AC20" s="135">
        <f t="shared" ref="AC20" si="48">AA20+1</f>
        <v>55</v>
      </c>
      <c r="AD20" s="135"/>
      <c r="AE20" s="135">
        <f t="shared" ref="AE20" si="49">AC20+1</f>
        <v>56</v>
      </c>
      <c r="AF20" s="135"/>
      <c r="AG20" s="135">
        <f t="shared" ref="AG20" si="50">AE20+1</f>
        <v>57</v>
      </c>
      <c r="AH20" s="135"/>
      <c r="AI20" s="135">
        <f t="shared" ref="AI20" si="51">AG20+1</f>
        <v>58</v>
      </c>
      <c r="AJ20" s="135"/>
      <c r="AK20" s="135">
        <f t="shared" ref="AK20" si="52">AI20+1</f>
        <v>59</v>
      </c>
      <c r="AL20" s="135"/>
      <c r="AM20" s="135">
        <f t="shared" ref="AM20" si="53">AK20+1</f>
        <v>60</v>
      </c>
      <c r="AN20" s="135"/>
      <c r="AO20" s="60"/>
      <c r="AP20" s="60"/>
      <c r="AQ20" s="60"/>
      <c r="AR20" s="60"/>
      <c r="AS20" s="60"/>
      <c r="AT20" s="60"/>
      <c r="AU20" s="60"/>
    </row>
    <row r="21" spans="1:47" ht="45" x14ac:dyDescent="0.25">
      <c r="A21" s="60" t="s">
        <v>1278</v>
      </c>
      <c r="B21" s="82">
        <v>1</v>
      </c>
      <c r="C21" s="60"/>
      <c r="D21" s="82"/>
      <c r="E21" s="60"/>
      <c r="F21" s="82"/>
      <c r="G21" s="60"/>
      <c r="H21" s="82"/>
      <c r="I21" s="60"/>
      <c r="J21" s="82"/>
      <c r="K21" s="60"/>
      <c r="L21" s="82"/>
      <c r="M21" s="60"/>
      <c r="N21" s="82"/>
      <c r="O21" s="60"/>
      <c r="P21" s="82"/>
      <c r="Q21" s="60"/>
      <c r="R21" s="82"/>
      <c r="S21" s="60"/>
      <c r="T21" s="82"/>
      <c r="U21" s="60"/>
      <c r="V21" s="82"/>
      <c r="W21" s="60"/>
      <c r="X21" s="82"/>
      <c r="Y21" s="60"/>
      <c r="Z21" s="82"/>
      <c r="AA21" s="60"/>
      <c r="AB21" s="82"/>
      <c r="AC21" s="60" t="s">
        <v>1280</v>
      </c>
      <c r="AD21" s="82">
        <v>1</v>
      </c>
      <c r="AE21" s="60" t="s">
        <v>1282</v>
      </c>
      <c r="AF21" s="82">
        <v>1</v>
      </c>
      <c r="AG21" s="60" t="s">
        <v>1284</v>
      </c>
      <c r="AH21" s="82">
        <v>1</v>
      </c>
      <c r="AI21" s="60" t="s">
        <v>1284</v>
      </c>
      <c r="AJ21" s="82">
        <v>1</v>
      </c>
      <c r="AK21" s="60" t="s">
        <v>1284</v>
      </c>
      <c r="AL21" s="82">
        <v>1</v>
      </c>
      <c r="AM21" s="60" t="s">
        <v>1284</v>
      </c>
      <c r="AN21" s="82">
        <v>1</v>
      </c>
      <c r="AO21" s="60"/>
      <c r="AP21" s="60"/>
      <c r="AQ21" s="60"/>
      <c r="AR21" s="60"/>
      <c r="AS21" s="60"/>
      <c r="AT21" s="60"/>
      <c r="AU21" s="60"/>
    </row>
    <row r="22" spans="1:47" ht="60" x14ac:dyDescent="0.25">
      <c r="A22" s="60" t="s">
        <v>1276</v>
      </c>
      <c r="B22" s="82">
        <v>1</v>
      </c>
      <c r="C22" s="60"/>
      <c r="D22" s="82"/>
      <c r="E22" s="60"/>
      <c r="F22" s="82"/>
      <c r="G22" s="60"/>
      <c r="H22" s="82"/>
      <c r="I22" s="60"/>
      <c r="J22" s="82"/>
      <c r="K22" s="60"/>
      <c r="L22" s="82"/>
      <c r="M22" s="60"/>
      <c r="N22" s="82"/>
      <c r="O22" s="60"/>
      <c r="P22" s="82"/>
      <c r="Q22" s="60"/>
      <c r="R22" s="82"/>
      <c r="S22" s="60"/>
      <c r="T22" s="82"/>
      <c r="U22" s="60"/>
      <c r="V22" s="82"/>
      <c r="W22" s="60"/>
      <c r="X22" s="82"/>
      <c r="Y22" s="60"/>
      <c r="Z22" s="82"/>
      <c r="AA22" s="60"/>
      <c r="AB22" s="82"/>
      <c r="AC22" s="60" t="s">
        <v>1281</v>
      </c>
      <c r="AD22" s="82">
        <v>1</v>
      </c>
      <c r="AE22" s="60" t="s">
        <v>1283</v>
      </c>
      <c r="AF22" s="82">
        <v>1</v>
      </c>
      <c r="AG22" s="60" t="s">
        <v>1285</v>
      </c>
      <c r="AH22" s="82">
        <v>1</v>
      </c>
      <c r="AI22" s="60" t="s">
        <v>1285</v>
      </c>
      <c r="AJ22" s="82">
        <v>1</v>
      </c>
      <c r="AK22" s="60" t="s">
        <v>1285</v>
      </c>
      <c r="AL22" s="82">
        <v>1</v>
      </c>
      <c r="AM22" s="60" t="s">
        <v>1285</v>
      </c>
      <c r="AN22" s="82">
        <v>1</v>
      </c>
      <c r="AO22" s="60"/>
      <c r="AP22" s="60"/>
      <c r="AQ22" s="60"/>
      <c r="AR22" s="60"/>
      <c r="AS22" s="60"/>
      <c r="AT22" s="60"/>
      <c r="AU22" s="60"/>
    </row>
    <row r="23" spans="1:47" ht="45" x14ac:dyDescent="0.25">
      <c r="A23" s="60" t="s">
        <v>1277</v>
      </c>
      <c r="B23" s="82">
        <v>1</v>
      </c>
      <c r="C23" s="60"/>
      <c r="D23" s="82"/>
      <c r="E23" s="60"/>
      <c r="F23" s="82"/>
      <c r="G23" s="60"/>
      <c r="H23" s="82"/>
      <c r="I23" s="60"/>
      <c r="J23" s="82"/>
      <c r="K23" s="60"/>
      <c r="L23" s="82"/>
      <c r="M23" s="60"/>
      <c r="N23" s="82"/>
      <c r="O23" s="60"/>
      <c r="P23" s="82"/>
      <c r="Q23" s="60"/>
      <c r="R23" s="82"/>
      <c r="S23" s="60"/>
      <c r="T23" s="82"/>
      <c r="U23" s="60"/>
      <c r="V23" s="82"/>
      <c r="W23" s="60"/>
      <c r="X23" s="82"/>
      <c r="Y23" s="60"/>
      <c r="Z23" s="82"/>
      <c r="AA23" s="60"/>
      <c r="AB23" s="82"/>
      <c r="AC23" s="60"/>
      <c r="AD23" s="82"/>
      <c r="AE23" s="60"/>
      <c r="AF23" s="82"/>
      <c r="AG23" s="60"/>
      <c r="AH23" s="82"/>
      <c r="AI23" s="60"/>
      <c r="AJ23" s="82"/>
      <c r="AK23" s="60" t="s">
        <v>1287</v>
      </c>
      <c r="AL23" s="82">
        <v>1</v>
      </c>
      <c r="AM23" s="60"/>
      <c r="AN23" s="82"/>
      <c r="AO23" s="60"/>
      <c r="AP23" s="60"/>
      <c r="AQ23" s="60"/>
      <c r="AR23" s="60"/>
      <c r="AS23" s="60"/>
      <c r="AT23" s="60"/>
      <c r="AU23" s="60"/>
    </row>
    <row r="24" spans="1:47" ht="75" x14ac:dyDescent="0.25">
      <c r="A24" s="60" t="s">
        <v>1279</v>
      </c>
      <c r="B24" s="82">
        <v>1</v>
      </c>
      <c r="C24" s="60"/>
      <c r="D24" s="82"/>
      <c r="E24" s="60"/>
      <c r="F24" s="82"/>
      <c r="G24" s="60"/>
      <c r="H24" s="82"/>
      <c r="I24" s="60"/>
      <c r="J24" s="82"/>
      <c r="K24" s="60"/>
      <c r="L24" s="82"/>
      <c r="M24" s="60"/>
      <c r="N24" s="82"/>
      <c r="O24" s="60"/>
      <c r="P24" s="82"/>
      <c r="Q24" s="60"/>
      <c r="R24" s="82"/>
      <c r="S24" s="60"/>
      <c r="T24" s="82"/>
      <c r="U24" s="60"/>
      <c r="V24" s="82"/>
      <c r="W24" s="60"/>
      <c r="X24" s="82"/>
      <c r="Y24" s="60"/>
      <c r="Z24" s="82"/>
      <c r="AA24" s="60"/>
      <c r="AB24" s="82"/>
      <c r="AC24" s="60"/>
      <c r="AD24" s="82"/>
      <c r="AE24" s="60"/>
      <c r="AF24" s="82"/>
      <c r="AG24" s="60"/>
      <c r="AH24" s="82"/>
      <c r="AI24" s="60"/>
      <c r="AJ24" s="82"/>
      <c r="AK24" s="60" t="s">
        <v>1288</v>
      </c>
      <c r="AL24" s="82">
        <v>1</v>
      </c>
      <c r="AM24" s="60"/>
      <c r="AN24" s="82"/>
      <c r="AO24" s="60"/>
      <c r="AP24" s="60"/>
      <c r="AQ24" s="60"/>
      <c r="AR24" s="60"/>
      <c r="AS24" s="60"/>
      <c r="AT24" s="60"/>
      <c r="AU24" s="60"/>
    </row>
    <row r="25" spans="1:47" x14ac:dyDescent="0.25">
      <c r="A25" s="60"/>
      <c r="B25" s="82"/>
      <c r="C25" s="60"/>
      <c r="D25" s="82"/>
      <c r="E25" s="60"/>
      <c r="F25" s="82"/>
      <c r="G25" s="60"/>
      <c r="H25" s="82"/>
      <c r="I25" s="60"/>
      <c r="J25" s="82"/>
      <c r="K25" s="60"/>
      <c r="L25" s="82"/>
      <c r="M25" s="60"/>
      <c r="N25" s="82"/>
      <c r="O25" s="60"/>
      <c r="P25" s="82"/>
      <c r="Q25" s="60"/>
      <c r="R25" s="82"/>
      <c r="S25" s="60"/>
      <c r="T25" s="82"/>
      <c r="U25" s="60"/>
      <c r="V25" s="82"/>
      <c r="W25" s="60"/>
      <c r="X25" s="82"/>
      <c r="Y25" s="60"/>
      <c r="Z25" s="82"/>
      <c r="AA25" s="60"/>
      <c r="AB25" s="82"/>
      <c r="AC25" s="60"/>
      <c r="AD25" s="82"/>
      <c r="AE25" s="60"/>
      <c r="AF25" s="82"/>
      <c r="AG25" s="60"/>
      <c r="AH25" s="82"/>
      <c r="AI25" s="60"/>
      <c r="AJ25" s="82"/>
      <c r="AK25" s="60"/>
      <c r="AL25" s="82"/>
      <c r="AM25" s="60"/>
      <c r="AN25" s="82"/>
      <c r="AO25" s="60"/>
      <c r="AP25" s="60"/>
      <c r="AQ25" s="60"/>
      <c r="AR25" s="60"/>
      <c r="AS25" s="60"/>
      <c r="AT25" s="60"/>
      <c r="AU25" s="60"/>
    </row>
    <row r="26" spans="1:47" x14ac:dyDescent="0.25">
      <c r="A26" s="63"/>
      <c r="B26" s="83"/>
      <c r="C26" s="63"/>
      <c r="D26" s="83"/>
      <c r="E26" s="63"/>
      <c r="F26" s="83"/>
      <c r="G26" s="63"/>
      <c r="H26" s="83"/>
      <c r="I26" s="63"/>
      <c r="J26" s="83"/>
      <c r="K26" s="63"/>
      <c r="L26" s="83"/>
      <c r="M26" s="63"/>
      <c r="N26" s="83"/>
      <c r="O26" s="63"/>
      <c r="P26" s="83"/>
      <c r="Q26" s="63"/>
      <c r="R26" s="83"/>
      <c r="S26" s="63"/>
      <c r="T26" s="83"/>
      <c r="U26" s="63"/>
      <c r="V26" s="83"/>
      <c r="W26" s="63"/>
      <c r="X26" s="83"/>
      <c r="Y26" s="63"/>
      <c r="Z26" s="83"/>
      <c r="AA26" s="63"/>
      <c r="AB26" s="83"/>
      <c r="AC26" s="63"/>
      <c r="AD26" s="83"/>
      <c r="AE26" s="63"/>
      <c r="AF26" s="83"/>
      <c r="AG26" s="63"/>
      <c r="AH26" s="83"/>
      <c r="AI26" s="63"/>
      <c r="AJ26" s="83"/>
      <c r="AK26" s="63"/>
      <c r="AL26" s="83"/>
      <c r="AM26" s="63"/>
      <c r="AN26" s="83"/>
      <c r="AO26" s="60"/>
      <c r="AP26" s="60"/>
      <c r="AQ26" s="60"/>
      <c r="AR26" s="60"/>
      <c r="AS26" s="60"/>
      <c r="AT26" s="60"/>
      <c r="AU26" s="60"/>
    </row>
    <row r="27" spans="1:47" x14ac:dyDescent="0.25">
      <c r="AO27" s="60"/>
      <c r="AP27" s="60"/>
      <c r="AQ27" s="60"/>
      <c r="AR27" s="60"/>
      <c r="AS27" s="60"/>
      <c r="AT27" s="60"/>
      <c r="AU27" s="60"/>
    </row>
    <row r="28" spans="1:47" x14ac:dyDescent="0.25">
      <c r="AO28" s="60"/>
      <c r="AP28" s="60"/>
      <c r="AQ28" s="60"/>
      <c r="AR28" s="60"/>
      <c r="AS28" s="60"/>
      <c r="AT28" s="60"/>
      <c r="AU28" s="60"/>
    </row>
    <row r="29" spans="1:47" x14ac:dyDescent="0.25">
      <c r="A29" s="135">
        <v>61</v>
      </c>
      <c r="B29" s="135"/>
      <c r="C29" s="135">
        <f>A29+1</f>
        <v>62</v>
      </c>
      <c r="D29" s="135"/>
      <c r="E29" s="135"/>
      <c r="F29" s="135"/>
      <c r="G29" s="135"/>
      <c r="H29" s="135"/>
      <c r="I29" s="135"/>
      <c r="J29" s="135"/>
      <c r="K29" s="135"/>
      <c r="L29" s="135"/>
      <c r="M29" s="135"/>
      <c r="N29" s="135"/>
      <c r="O29" s="135"/>
      <c r="P29" s="135"/>
      <c r="Q29" s="135"/>
      <c r="R29" s="135"/>
      <c r="S29" s="135"/>
      <c r="T29" s="135"/>
      <c r="U29" s="135"/>
      <c r="V29" s="135"/>
      <c r="W29" s="135"/>
      <c r="X29" s="135"/>
      <c r="Y29" s="135"/>
      <c r="Z29" s="135"/>
      <c r="AA29" s="135"/>
      <c r="AB29" s="135"/>
      <c r="AC29" s="135"/>
      <c r="AD29" s="135"/>
      <c r="AE29" s="135"/>
      <c r="AF29" s="135"/>
      <c r="AG29" s="135"/>
      <c r="AH29" s="135"/>
      <c r="AI29" s="135"/>
      <c r="AJ29" s="135"/>
      <c r="AK29" s="135"/>
      <c r="AL29" s="135"/>
      <c r="AM29" s="135"/>
      <c r="AN29" s="135"/>
      <c r="AO29" s="60"/>
      <c r="AP29" s="60"/>
      <c r="AQ29" s="60"/>
      <c r="AR29" s="60"/>
      <c r="AS29" s="60"/>
      <c r="AT29" s="60"/>
      <c r="AU29" s="60"/>
    </row>
    <row r="30" spans="1:47" ht="45" x14ac:dyDescent="0.25">
      <c r="A30" s="60" t="s">
        <v>1284</v>
      </c>
      <c r="B30" s="82">
        <v>1</v>
      </c>
      <c r="C30" s="60" t="s">
        <v>1284</v>
      </c>
      <c r="D30" s="82">
        <v>1</v>
      </c>
      <c r="E30" s="60"/>
      <c r="F30" s="82"/>
      <c r="G30" s="60"/>
      <c r="H30" s="82"/>
      <c r="I30" s="60"/>
      <c r="J30" s="82"/>
      <c r="K30" s="60"/>
      <c r="L30" s="82"/>
      <c r="M30" s="60"/>
      <c r="N30" s="82"/>
      <c r="O30" s="60"/>
      <c r="P30" s="82"/>
      <c r="Q30" s="60"/>
      <c r="R30" s="82"/>
      <c r="S30" s="60"/>
      <c r="T30" s="82"/>
      <c r="U30" s="60"/>
      <c r="V30" s="82"/>
      <c r="W30" s="60"/>
      <c r="X30" s="82"/>
      <c r="Y30" s="60"/>
      <c r="Z30" s="82"/>
      <c r="AA30" s="60"/>
      <c r="AB30" s="82"/>
      <c r="AC30" s="60"/>
      <c r="AD30" s="82"/>
      <c r="AE30" s="60"/>
      <c r="AF30" s="82"/>
      <c r="AG30" s="60"/>
      <c r="AH30" s="82"/>
      <c r="AI30" s="60"/>
      <c r="AJ30" s="82"/>
      <c r="AK30" s="60"/>
      <c r="AL30" s="82"/>
      <c r="AM30" s="60"/>
      <c r="AN30" s="82"/>
      <c r="AO30" s="60"/>
      <c r="AP30" s="60"/>
      <c r="AQ30" s="60"/>
      <c r="AR30" s="60"/>
      <c r="AS30" s="60"/>
      <c r="AT30" s="60"/>
      <c r="AU30" s="60"/>
    </row>
    <row r="31" spans="1:47" ht="60" x14ac:dyDescent="0.25">
      <c r="A31" s="60" t="s">
        <v>1285</v>
      </c>
      <c r="B31" s="82">
        <v>1</v>
      </c>
      <c r="C31" s="60" t="s">
        <v>1285</v>
      </c>
      <c r="D31" s="82">
        <v>1</v>
      </c>
      <c r="E31" s="60"/>
      <c r="F31" s="82"/>
      <c r="G31" s="60"/>
      <c r="H31" s="82"/>
      <c r="I31" s="60"/>
      <c r="J31" s="82"/>
      <c r="K31" s="60"/>
      <c r="L31" s="82"/>
      <c r="M31" s="60"/>
      <c r="N31" s="82"/>
      <c r="O31" s="60"/>
      <c r="P31" s="82"/>
      <c r="Q31" s="60"/>
      <c r="R31" s="82"/>
      <c r="S31" s="60"/>
      <c r="T31" s="82"/>
      <c r="U31" s="60"/>
      <c r="V31" s="82"/>
      <c r="W31" s="60"/>
      <c r="X31" s="82"/>
      <c r="Y31" s="60"/>
      <c r="Z31" s="82"/>
      <c r="AA31" s="60"/>
      <c r="AB31" s="82"/>
      <c r="AC31" s="60"/>
      <c r="AD31" s="82"/>
      <c r="AE31" s="60"/>
      <c r="AF31" s="82"/>
      <c r="AG31" s="60"/>
      <c r="AH31" s="82"/>
      <c r="AI31" s="60"/>
      <c r="AJ31" s="82"/>
      <c r="AK31" s="60"/>
      <c r="AL31" s="82"/>
      <c r="AM31" s="60"/>
      <c r="AN31" s="82"/>
      <c r="AO31" s="60"/>
      <c r="AP31" s="60"/>
      <c r="AQ31" s="60"/>
      <c r="AR31" s="60"/>
      <c r="AS31" s="60"/>
      <c r="AT31" s="60"/>
      <c r="AU31" s="60"/>
    </row>
    <row r="32" spans="1:47" ht="60" x14ac:dyDescent="0.25">
      <c r="A32" s="60" t="s">
        <v>1286</v>
      </c>
      <c r="B32" s="82">
        <v>1</v>
      </c>
      <c r="C32" s="60" t="s">
        <v>1289</v>
      </c>
      <c r="D32" s="82">
        <v>1</v>
      </c>
      <c r="E32" s="60"/>
      <c r="F32" s="82"/>
      <c r="G32" s="60"/>
      <c r="H32" s="82"/>
      <c r="I32" s="60"/>
      <c r="J32" s="82"/>
      <c r="K32" s="60"/>
      <c r="L32" s="82"/>
      <c r="M32" s="60"/>
      <c r="N32" s="82"/>
      <c r="O32" s="60"/>
      <c r="P32" s="82"/>
      <c r="Q32" s="60"/>
      <c r="R32" s="82"/>
      <c r="S32" s="60"/>
      <c r="T32" s="82"/>
      <c r="U32" s="60"/>
      <c r="V32" s="82"/>
      <c r="W32" s="60"/>
      <c r="X32" s="82"/>
      <c r="Y32" s="60"/>
      <c r="Z32" s="82"/>
      <c r="AA32" s="60"/>
      <c r="AB32" s="82"/>
      <c r="AC32" s="60"/>
      <c r="AD32" s="82"/>
      <c r="AE32" s="60"/>
      <c r="AF32" s="82"/>
      <c r="AG32" s="60"/>
      <c r="AH32" s="82"/>
      <c r="AI32" s="60"/>
      <c r="AJ32" s="82"/>
      <c r="AK32" s="60"/>
      <c r="AL32" s="82"/>
      <c r="AM32" s="60"/>
      <c r="AN32" s="82"/>
      <c r="AO32" s="60"/>
      <c r="AP32" s="60"/>
      <c r="AQ32" s="60"/>
      <c r="AR32" s="60"/>
      <c r="AS32" s="60"/>
      <c r="AT32" s="60"/>
      <c r="AU32" s="60"/>
    </row>
    <row r="33" spans="1:47" ht="105" x14ac:dyDescent="0.25">
      <c r="A33" s="60" t="s">
        <v>1239</v>
      </c>
      <c r="B33" s="82">
        <v>1</v>
      </c>
      <c r="C33" s="60" t="s">
        <v>1266</v>
      </c>
      <c r="D33" s="82">
        <v>1</v>
      </c>
      <c r="E33" s="60"/>
      <c r="F33" s="82"/>
      <c r="G33" s="60"/>
      <c r="H33" s="82"/>
      <c r="I33" s="60"/>
      <c r="J33" s="82"/>
      <c r="K33" s="60"/>
      <c r="L33" s="82"/>
      <c r="M33" s="60"/>
      <c r="N33" s="82"/>
      <c r="O33" s="60"/>
      <c r="P33" s="82"/>
      <c r="Q33" s="60"/>
      <c r="R33" s="82"/>
      <c r="S33" s="60"/>
      <c r="T33" s="82"/>
      <c r="U33" s="60"/>
      <c r="V33" s="82"/>
      <c r="W33" s="60"/>
      <c r="X33" s="82"/>
      <c r="Y33" s="60"/>
      <c r="Z33" s="82"/>
      <c r="AA33" s="60"/>
      <c r="AB33" s="82"/>
      <c r="AC33" s="60"/>
      <c r="AD33" s="82"/>
      <c r="AE33" s="60"/>
      <c r="AF33" s="82"/>
      <c r="AG33" s="60"/>
      <c r="AH33" s="82"/>
      <c r="AI33" s="60"/>
      <c r="AJ33" s="82"/>
      <c r="AK33" s="60"/>
      <c r="AL33" s="82"/>
      <c r="AM33" s="60"/>
      <c r="AN33" s="82"/>
      <c r="AO33" s="60"/>
      <c r="AP33" s="60"/>
      <c r="AQ33" s="60"/>
      <c r="AR33" s="60"/>
      <c r="AS33" s="60"/>
      <c r="AT33" s="60"/>
      <c r="AU33" s="60"/>
    </row>
    <row r="34" spans="1:47" x14ac:dyDescent="0.25">
      <c r="A34" s="60"/>
      <c r="B34" s="82"/>
      <c r="C34" s="60"/>
      <c r="D34" s="82"/>
      <c r="E34" s="60"/>
      <c r="F34" s="82"/>
      <c r="G34" s="60"/>
      <c r="H34" s="82"/>
      <c r="I34" s="60"/>
      <c r="J34" s="82"/>
      <c r="K34" s="60"/>
      <c r="L34" s="82"/>
      <c r="M34" s="60"/>
      <c r="N34" s="82"/>
      <c r="O34" s="60"/>
      <c r="P34" s="82"/>
      <c r="Q34" s="60"/>
      <c r="R34" s="82"/>
      <c r="S34" s="60"/>
      <c r="T34" s="82"/>
      <c r="U34" s="60"/>
      <c r="V34" s="82"/>
      <c r="W34" s="60"/>
      <c r="X34" s="82"/>
      <c r="Y34" s="60"/>
      <c r="Z34" s="82"/>
      <c r="AA34" s="60"/>
      <c r="AB34" s="82"/>
      <c r="AC34" s="60"/>
      <c r="AD34" s="82"/>
      <c r="AE34" s="60"/>
      <c r="AF34" s="82"/>
      <c r="AG34" s="60"/>
      <c r="AH34" s="82"/>
      <c r="AI34" s="60"/>
      <c r="AJ34" s="82"/>
      <c r="AK34" s="60"/>
      <c r="AL34" s="82"/>
      <c r="AM34" s="60"/>
      <c r="AN34" s="82"/>
    </row>
    <row r="35" spans="1:47" x14ac:dyDescent="0.25">
      <c r="A35" s="63"/>
      <c r="B35" s="83"/>
      <c r="C35" s="63"/>
      <c r="D35" s="83"/>
      <c r="E35" s="63"/>
      <c r="F35" s="83"/>
      <c r="G35" s="63"/>
      <c r="H35" s="83"/>
      <c r="I35" s="63"/>
      <c r="J35" s="83"/>
      <c r="K35" s="63"/>
      <c r="L35" s="83"/>
      <c r="M35" s="63"/>
      <c r="N35" s="83"/>
      <c r="O35" s="63"/>
      <c r="P35" s="83"/>
      <c r="Q35" s="63"/>
      <c r="R35" s="83"/>
      <c r="S35" s="63"/>
      <c r="T35" s="83"/>
      <c r="U35" s="63"/>
      <c r="V35" s="83"/>
      <c r="W35" s="63"/>
      <c r="X35" s="83"/>
      <c r="Y35" s="63"/>
      <c r="Z35" s="83"/>
      <c r="AA35" s="63"/>
      <c r="AB35" s="83"/>
      <c r="AC35" s="63"/>
      <c r="AD35" s="83"/>
      <c r="AE35" s="63"/>
      <c r="AF35" s="83"/>
      <c r="AG35" s="63"/>
      <c r="AH35" s="83"/>
      <c r="AI35" s="63"/>
      <c r="AJ35" s="83"/>
      <c r="AK35" s="63"/>
      <c r="AL35" s="83"/>
      <c r="AM35" s="63"/>
      <c r="AN35" s="83"/>
    </row>
    <row r="36" spans="1:47" x14ac:dyDescent="0.25">
      <c r="A36" s="134"/>
      <c r="B36" s="134"/>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60"/>
      <c r="AP36" s="60"/>
      <c r="AQ36" s="60"/>
    </row>
    <row r="37" spans="1:47" x14ac:dyDescent="0.25">
      <c r="A37" s="60"/>
      <c r="B37" s="60"/>
      <c r="C37" s="60"/>
      <c r="D37" s="60"/>
      <c r="E37" s="60"/>
      <c r="F37" s="60"/>
      <c r="G37" s="60"/>
      <c r="H37" s="60"/>
      <c r="I37" s="60"/>
      <c r="J37" s="60"/>
      <c r="K37" s="60"/>
      <c r="L37" s="60"/>
      <c r="M37" s="60"/>
      <c r="N37" s="60"/>
      <c r="O37" s="60"/>
      <c r="P37" s="60"/>
      <c r="Q37" s="60"/>
      <c r="R37" s="60"/>
      <c r="S37" s="60"/>
      <c r="T37" s="60"/>
      <c r="U37" s="60"/>
      <c r="V37" s="60"/>
      <c r="W37" s="60"/>
      <c r="X37" s="60"/>
      <c r="Y37" s="60"/>
      <c r="Z37" s="60"/>
      <c r="AA37" s="60"/>
      <c r="AB37" s="60"/>
      <c r="AC37" s="60"/>
      <c r="AD37" s="60"/>
      <c r="AE37" s="60"/>
      <c r="AF37" s="60"/>
      <c r="AG37" s="60"/>
      <c r="AH37" s="60"/>
      <c r="AI37" s="60"/>
      <c r="AJ37" s="60"/>
      <c r="AK37" s="60"/>
      <c r="AL37" s="60"/>
      <c r="AM37" s="60"/>
      <c r="AN37" s="60"/>
      <c r="AO37" s="60"/>
      <c r="AP37" s="60"/>
      <c r="AQ37" s="60"/>
    </row>
    <row r="38" spans="1:47" x14ac:dyDescent="0.25">
      <c r="A38" s="60"/>
      <c r="B38" s="60"/>
      <c r="C38" s="60"/>
      <c r="D38" s="60"/>
      <c r="E38" s="60"/>
      <c r="F38" s="60"/>
      <c r="G38" s="60"/>
      <c r="H38" s="60"/>
      <c r="I38" s="60"/>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row>
    <row r="39" spans="1:47" x14ac:dyDescent="0.25">
      <c r="A39" s="60"/>
      <c r="B39" s="60"/>
      <c r="C39" s="60"/>
      <c r="D39" s="60"/>
      <c r="E39" s="60"/>
      <c r="F39" s="60"/>
      <c r="G39" s="60"/>
      <c r="H39" s="60"/>
      <c r="I39" s="60"/>
      <c r="J39" s="60"/>
      <c r="K39" s="60"/>
      <c r="L39" s="60"/>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row>
    <row r="40" spans="1:47" x14ac:dyDescent="0.25">
      <c r="A40" s="60"/>
      <c r="B40" s="60"/>
      <c r="C40" s="60"/>
      <c r="D40" s="60"/>
      <c r="E40" s="60"/>
      <c r="F40" s="60"/>
      <c r="G40" s="60"/>
      <c r="H40" s="60"/>
      <c r="I40" s="60"/>
      <c r="J40" s="60"/>
      <c r="K40" s="60"/>
      <c r="L40" s="60"/>
      <c r="M40" s="60"/>
      <c r="N40" s="60"/>
      <c r="O40" s="60"/>
      <c r="P40" s="60"/>
      <c r="Q40" s="60"/>
      <c r="R40" s="60"/>
      <c r="S40" s="60"/>
      <c r="T40" s="60"/>
      <c r="U40" s="60"/>
      <c r="V40" s="60"/>
      <c r="W40" s="60"/>
      <c r="X40" s="60"/>
      <c r="Y40" s="60"/>
      <c r="Z40" s="60"/>
      <c r="AA40" s="60"/>
      <c r="AB40" s="60"/>
      <c r="AC40" s="60"/>
      <c r="AD40" s="60"/>
      <c r="AE40" s="60"/>
      <c r="AF40" s="60"/>
      <c r="AG40" s="60"/>
      <c r="AH40" s="60"/>
      <c r="AI40" s="60"/>
      <c r="AJ40" s="60"/>
      <c r="AK40" s="60"/>
      <c r="AL40" s="60"/>
      <c r="AM40" s="60"/>
      <c r="AN40" s="60"/>
      <c r="AO40" s="60"/>
      <c r="AP40" s="60"/>
    </row>
    <row r="41" spans="1:47" x14ac:dyDescent="0.25">
      <c r="A41" s="60"/>
      <c r="B41" s="60"/>
      <c r="C41" s="60"/>
      <c r="D41" s="60"/>
      <c r="E41" s="60"/>
      <c r="F41" s="60"/>
      <c r="G41" s="60"/>
      <c r="H41" s="60"/>
      <c r="I41" s="60"/>
      <c r="J41" s="60"/>
      <c r="K41" s="60"/>
      <c r="L41" s="60"/>
      <c r="M41" s="60"/>
      <c r="N41" s="60"/>
      <c r="O41" s="60"/>
      <c r="P41" s="60"/>
      <c r="Q41" s="60"/>
      <c r="R41" s="60"/>
      <c r="S41" s="60"/>
      <c r="T41" s="60"/>
      <c r="U41" s="60"/>
      <c r="V41" s="60"/>
      <c r="W41" s="60"/>
      <c r="X41" s="60"/>
      <c r="Y41" s="60"/>
      <c r="Z41" s="60"/>
      <c r="AA41" s="60"/>
      <c r="AB41" s="60"/>
      <c r="AC41" s="60"/>
      <c r="AD41" s="60"/>
      <c r="AE41" s="60"/>
      <c r="AF41" s="60"/>
      <c r="AG41" s="60"/>
      <c r="AH41" s="60"/>
      <c r="AI41" s="60"/>
      <c r="AJ41" s="60"/>
      <c r="AK41" s="60"/>
      <c r="AL41" s="60"/>
      <c r="AM41" s="60"/>
      <c r="AN41" s="60"/>
      <c r="AO41" s="60"/>
      <c r="AP41" s="60"/>
    </row>
    <row r="42" spans="1:47" x14ac:dyDescent="0.25">
      <c r="A42" s="60"/>
      <c r="B42" s="60"/>
      <c r="C42" s="60"/>
      <c r="D42" s="60"/>
      <c r="E42" s="60"/>
      <c r="F42" s="60"/>
      <c r="G42" s="60"/>
      <c r="H42" s="60"/>
      <c r="I42" s="60"/>
      <c r="J42" s="60"/>
      <c r="K42" s="60"/>
      <c r="L42" s="60"/>
      <c r="M42" s="60"/>
      <c r="N42" s="60"/>
      <c r="O42" s="60"/>
      <c r="P42" s="60"/>
      <c r="Q42" s="60"/>
      <c r="R42" s="60"/>
      <c r="S42" s="60"/>
      <c r="T42" s="60"/>
      <c r="U42" s="60"/>
      <c r="V42" s="60"/>
      <c r="W42" s="60"/>
      <c r="X42" s="60"/>
      <c r="Y42" s="60"/>
      <c r="Z42" s="60"/>
      <c r="AA42" s="60"/>
      <c r="AB42" s="60"/>
      <c r="AC42" s="60"/>
      <c r="AD42" s="60"/>
      <c r="AE42" s="60"/>
      <c r="AF42" s="60"/>
      <c r="AG42" s="60"/>
      <c r="AH42" s="60"/>
      <c r="AI42" s="60"/>
      <c r="AJ42" s="60"/>
      <c r="AK42" s="60"/>
      <c r="AL42" s="60"/>
      <c r="AM42" s="60"/>
      <c r="AN42" s="60"/>
      <c r="AO42" s="60"/>
      <c r="AP42" s="60"/>
    </row>
    <row r="43" spans="1:47" x14ac:dyDescent="0.25">
      <c r="A43" s="60"/>
      <c r="B43" s="60"/>
      <c r="C43" s="60"/>
      <c r="D43" s="60"/>
      <c r="E43" s="60"/>
      <c r="F43" s="60"/>
      <c r="G43" s="60"/>
      <c r="H43" s="60"/>
      <c r="I43" s="60"/>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row>
    <row r="44" spans="1:47" x14ac:dyDescent="0.25">
      <c r="A44" s="60"/>
      <c r="B44" s="60"/>
      <c r="C44" s="60"/>
      <c r="D44" s="60"/>
      <c r="E44" s="60"/>
      <c r="F44" s="60"/>
      <c r="G44" s="60"/>
      <c r="H44" s="60"/>
      <c r="I44" s="60"/>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row>
    <row r="45" spans="1:47" x14ac:dyDescent="0.25">
      <c r="A45" s="60"/>
      <c r="B45" s="60"/>
      <c r="C45" s="60"/>
      <c r="D45" s="60"/>
      <c r="E45" s="60"/>
      <c r="F45" s="60"/>
      <c r="G45" s="60"/>
      <c r="H45" s="60"/>
      <c r="I45" s="60"/>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row>
    <row r="46" spans="1:47" x14ac:dyDescent="0.25">
      <c r="A46" s="60"/>
      <c r="B46" s="60"/>
      <c r="C46" s="60"/>
      <c r="D46" s="60"/>
      <c r="E46" s="60"/>
      <c r="F46" s="60"/>
      <c r="G46" s="60"/>
      <c r="H46" s="60"/>
      <c r="I46" s="60"/>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row>
    <row r="47" spans="1:47" x14ac:dyDescent="0.25">
      <c r="A47" s="60"/>
      <c r="B47" s="60"/>
      <c r="C47" s="60"/>
      <c r="D47" s="60"/>
      <c r="E47" s="60"/>
      <c r="F47" s="60"/>
      <c r="G47" s="60"/>
      <c r="H47" s="60"/>
      <c r="I47" s="60"/>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row>
    <row r="48" spans="1:47" x14ac:dyDescent="0.25">
      <c r="A48" s="60"/>
      <c r="B48" s="60"/>
      <c r="C48" s="60"/>
      <c r="D48" s="60"/>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row>
    <row r="49" spans="1:42" x14ac:dyDescent="0.25">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row>
    <row r="50" spans="1:42" x14ac:dyDescent="0.25">
      <c r="A50" s="60"/>
      <c r="B50" s="60"/>
      <c r="C50" s="60"/>
      <c r="D50" s="60"/>
      <c r="E50" s="60"/>
      <c r="F50" s="60"/>
      <c r="G50" s="60"/>
      <c r="H50" s="60"/>
      <c r="I50" s="60"/>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row>
    <row r="51" spans="1:42" x14ac:dyDescent="0.25">
      <c r="A51" s="60"/>
      <c r="B51" s="60"/>
      <c r="C51" s="60"/>
      <c r="D51" s="60"/>
      <c r="E51" s="60"/>
      <c r="F51" s="60"/>
      <c r="G51" s="60"/>
      <c r="H51" s="60"/>
      <c r="I51" s="60"/>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row>
    <row r="52" spans="1:42" x14ac:dyDescent="0.25">
      <c r="A52" s="60"/>
      <c r="B52" s="60"/>
      <c r="C52" s="60"/>
      <c r="D52" s="60"/>
      <c r="E52" s="60"/>
      <c r="F52" s="60"/>
      <c r="G52" s="60"/>
      <c r="H52" s="60"/>
      <c r="I52" s="60"/>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row>
    <row r="53" spans="1:42" x14ac:dyDescent="0.25">
      <c r="A53" s="60"/>
      <c r="B53" s="60"/>
      <c r="C53" s="60"/>
      <c r="D53" s="60"/>
      <c r="E53" s="60"/>
      <c r="F53" s="60"/>
      <c r="G53" s="60"/>
      <c r="H53" s="60"/>
      <c r="I53" s="60"/>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row>
    <row r="54" spans="1:42" x14ac:dyDescent="0.25">
      <c r="A54" s="60"/>
      <c r="B54" s="60"/>
      <c r="C54" s="60"/>
      <c r="D54" s="60"/>
      <c r="E54" s="60"/>
      <c r="F54" s="60"/>
      <c r="G54" s="60"/>
      <c r="H54" s="60"/>
      <c r="I54" s="60"/>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row>
    <row r="55" spans="1:42" x14ac:dyDescent="0.25">
      <c r="A55" s="60"/>
      <c r="B55" s="60"/>
      <c r="C55" s="60"/>
      <c r="D55" s="60"/>
      <c r="E55" s="60"/>
      <c r="F55" s="60"/>
      <c r="G55" s="60"/>
      <c r="H55" s="60"/>
      <c r="I55" s="60"/>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row>
    <row r="56" spans="1:42" x14ac:dyDescent="0.25">
      <c r="A56" s="134"/>
      <c r="B56" s="134"/>
      <c r="C56" s="134"/>
      <c r="D56" s="134"/>
      <c r="E56" s="134"/>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60"/>
      <c r="AP56" s="60"/>
    </row>
    <row r="57" spans="1:42" x14ac:dyDescent="0.25">
      <c r="A57" s="60"/>
      <c r="B57" s="60"/>
      <c r="C57" s="60"/>
      <c r="D57" s="60"/>
      <c r="E57" s="60"/>
      <c r="F57" s="60"/>
      <c r="G57" s="60"/>
      <c r="H57" s="60"/>
      <c r="I57" s="60"/>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row>
    <row r="58" spans="1:42" x14ac:dyDescent="0.25">
      <c r="A58" s="60"/>
      <c r="B58" s="60"/>
      <c r="C58" s="60"/>
      <c r="D58" s="60"/>
      <c r="E58" s="60"/>
      <c r="F58" s="60"/>
      <c r="G58" s="60"/>
      <c r="H58" s="60"/>
      <c r="I58" s="60"/>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row>
    <row r="59" spans="1:42" x14ac:dyDescent="0.25">
      <c r="A59" s="60"/>
      <c r="B59" s="60"/>
      <c r="C59" s="60"/>
      <c r="D59" s="60"/>
      <c r="E59" s="60"/>
      <c r="F59" s="60"/>
      <c r="G59" s="60"/>
      <c r="H59" s="60"/>
      <c r="I59" s="60"/>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row>
    <row r="60" spans="1:42" x14ac:dyDescent="0.25">
      <c r="A60" s="60"/>
      <c r="B60" s="60"/>
      <c r="C60" s="60"/>
      <c r="D60" s="60"/>
      <c r="E60" s="60"/>
      <c r="F60" s="60"/>
      <c r="G60" s="60"/>
      <c r="H60" s="60"/>
      <c r="I60" s="60"/>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row>
    <row r="61" spans="1:42" x14ac:dyDescent="0.25">
      <c r="A61" s="60"/>
      <c r="B61" s="60"/>
      <c r="C61" s="60"/>
      <c r="D61" s="60"/>
      <c r="E61" s="60"/>
      <c r="F61" s="60"/>
      <c r="G61" s="60"/>
      <c r="H61" s="60"/>
      <c r="I61" s="60"/>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row>
    <row r="62" spans="1:42" x14ac:dyDescent="0.25">
      <c r="A62" s="60"/>
      <c r="B62" s="60"/>
      <c r="C62" s="60"/>
      <c r="D62" s="60"/>
      <c r="E62" s="60"/>
      <c r="F62" s="60"/>
      <c r="G62" s="60"/>
      <c r="H62" s="60"/>
      <c r="I62" s="60"/>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row>
    <row r="63" spans="1:42" x14ac:dyDescent="0.25">
      <c r="A63" s="60"/>
      <c r="B63" s="60"/>
      <c r="C63" s="60"/>
      <c r="D63" s="60"/>
      <c r="E63" s="60"/>
      <c r="F63" s="60"/>
      <c r="G63" s="60"/>
      <c r="H63" s="60"/>
      <c r="I63" s="60"/>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row>
    <row r="64" spans="1:42" x14ac:dyDescent="0.25">
      <c r="A64" s="60"/>
      <c r="B64" s="60"/>
      <c r="C64" s="60"/>
      <c r="D64" s="60"/>
      <c r="E64" s="60"/>
      <c r="F64" s="60"/>
      <c r="G64" s="60"/>
      <c r="H64" s="60"/>
      <c r="I64" s="60"/>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row>
    <row r="65" spans="1:45" x14ac:dyDescent="0.25">
      <c r="A65" s="60"/>
      <c r="B65" s="60"/>
      <c r="C65" s="60"/>
      <c r="D65" s="60"/>
      <c r="E65" s="60"/>
      <c r="F65" s="60"/>
      <c r="G65" s="60"/>
      <c r="H65" s="60"/>
      <c r="I65" s="60"/>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row r="66" spans="1:45" x14ac:dyDescent="0.25">
      <c r="A66" s="60"/>
      <c r="B66" s="60"/>
      <c r="C66" s="60"/>
      <c r="D66" s="60"/>
      <c r="E66" s="60"/>
      <c r="F66" s="60"/>
      <c r="G66" s="60"/>
      <c r="H66" s="60"/>
      <c r="I66" s="60"/>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row>
    <row r="67" spans="1:45" x14ac:dyDescent="0.25">
      <c r="A67" s="60"/>
      <c r="B67" s="60"/>
      <c r="C67" s="60"/>
      <c r="D67" s="60"/>
      <c r="E67" s="60"/>
      <c r="F67" s="60"/>
      <c r="G67" s="60"/>
      <c r="H67" s="60"/>
      <c r="I67" s="60"/>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row>
    <row r="68" spans="1:45" x14ac:dyDescent="0.25">
      <c r="A68" s="60"/>
      <c r="B68" s="60"/>
      <c r="C68" s="60"/>
      <c r="D68" s="60"/>
      <c r="E68" s="60"/>
      <c r="F68" s="60"/>
      <c r="G68" s="60"/>
      <c r="H68" s="60"/>
      <c r="I68" s="60"/>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row>
    <row r="69" spans="1:45" x14ac:dyDescent="0.25">
      <c r="A69" s="60"/>
      <c r="B69" s="60"/>
      <c r="C69" s="60"/>
      <c r="D69" s="60"/>
      <c r="E69" s="60"/>
      <c r="F69" s="60"/>
      <c r="G69" s="60"/>
      <c r="H69" s="60"/>
      <c r="I69" s="60"/>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row>
    <row r="70" spans="1:45" x14ac:dyDescent="0.25">
      <c r="A70" s="60"/>
      <c r="B70" s="60"/>
      <c r="C70" s="60"/>
      <c r="D70" s="60"/>
      <c r="E70" s="60"/>
      <c r="F70" s="60"/>
      <c r="G70" s="60"/>
      <c r="H70" s="60"/>
      <c r="I70" s="60"/>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row>
    <row r="71" spans="1:45" x14ac:dyDescent="0.25">
      <c r="A71" s="60"/>
      <c r="B71" s="60"/>
      <c r="C71" s="60"/>
      <c r="D71" s="60"/>
      <c r="E71" s="60"/>
      <c r="F71" s="60"/>
      <c r="G71" s="60"/>
      <c r="H71" s="60"/>
      <c r="I71" s="60"/>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row>
    <row r="72" spans="1:45" x14ac:dyDescent="0.25">
      <c r="A72" s="60"/>
      <c r="B72" s="60"/>
      <c r="C72" s="60"/>
      <c r="D72" s="60"/>
      <c r="E72" s="60"/>
      <c r="F72" s="60"/>
      <c r="G72" s="60"/>
      <c r="H72" s="60"/>
      <c r="I72" s="60"/>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row>
    <row r="73" spans="1:45" x14ac:dyDescent="0.25">
      <c r="A73" s="60"/>
      <c r="B73" s="60"/>
      <c r="C73" s="60"/>
      <c r="D73" s="60"/>
      <c r="E73" s="60"/>
      <c r="F73" s="60"/>
      <c r="G73" s="60"/>
      <c r="H73" s="60"/>
      <c r="I73" s="60"/>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row>
    <row r="74" spans="1:45"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c r="AD74" s="134"/>
      <c r="AE74" s="134"/>
      <c r="AF74" s="134"/>
      <c r="AG74" s="134"/>
      <c r="AH74" s="134"/>
      <c r="AI74" s="134"/>
      <c r="AJ74" s="134"/>
      <c r="AK74" s="134"/>
      <c r="AL74" s="134"/>
      <c r="AM74" s="134"/>
      <c r="AN74" s="134"/>
      <c r="AO74" s="60"/>
      <c r="AP74" s="60"/>
      <c r="AQ74" s="60"/>
      <c r="AR74" s="60"/>
      <c r="AS74" s="60"/>
    </row>
    <row r="75" spans="1:45" x14ac:dyDescent="0.25">
      <c r="A75" s="60"/>
      <c r="B75" s="60"/>
      <c r="C75" s="60"/>
      <c r="D75" s="60"/>
      <c r="E75" s="60"/>
      <c r="F75" s="60"/>
      <c r="G75" s="60"/>
      <c r="H75" s="60"/>
      <c r="I75" s="60"/>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row>
    <row r="76" spans="1:45" x14ac:dyDescent="0.25">
      <c r="A76" s="60"/>
      <c r="B76" s="60"/>
      <c r="C76" s="60"/>
      <c r="D76" s="60"/>
      <c r="E76" s="60"/>
      <c r="F76" s="60"/>
      <c r="G76" s="60"/>
      <c r="H76" s="60"/>
      <c r="I76" s="60"/>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row>
    <row r="77" spans="1:45" x14ac:dyDescent="0.25">
      <c r="A77" s="60"/>
      <c r="B77" s="60"/>
      <c r="C77" s="60"/>
      <c r="D77" s="60"/>
      <c r="E77" s="60"/>
      <c r="F77" s="60"/>
      <c r="G77" s="60"/>
      <c r="H77" s="60"/>
      <c r="I77" s="60"/>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row>
    <row r="78" spans="1:45" x14ac:dyDescent="0.25">
      <c r="A78" s="60"/>
      <c r="B78" s="60"/>
      <c r="C78" s="60"/>
      <c r="D78" s="60"/>
      <c r="E78" s="60"/>
      <c r="F78" s="60"/>
      <c r="G78" s="60"/>
      <c r="H78" s="60"/>
      <c r="I78" s="60"/>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row>
    <row r="79" spans="1:45" x14ac:dyDescent="0.25">
      <c r="A79" s="60"/>
      <c r="B79" s="60"/>
      <c r="C79" s="60"/>
      <c r="D79" s="60"/>
      <c r="E79" s="60"/>
      <c r="F79" s="60"/>
      <c r="G79" s="60"/>
      <c r="H79" s="60"/>
      <c r="I79" s="60"/>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row>
    <row r="80" spans="1:45" x14ac:dyDescent="0.25">
      <c r="A80" s="60"/>
      <c r="B80" s="60"/>
      <c r="C80" s="60"/>
      <c r="D80" s="60"/>
      <c r="E80" s="60"/>
      <c r="F80" s="60"/>
      <c r="G80" s="60"/>
      <c r="H80" s="60"/>
      <c r="I80" s="60"/>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row>
    <row r="81" spans="1:45" x14ac:dyDescent="0.25">
      <c r="A81" s="60"/>
      <c r="B81" s="60"/>
      <c r="C81" s="60"/>
      <c r="D81" s="60"/>
      <c r="E81" s="60"/>
      <c r="F81" s="60"/>
      <c r="G81" s="60"/>
      <c r="H81" s="60"/>
      <c r="I81" s="60"/>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row>
    <row r="82" spans="1:45" x14ac:dyDescent="0.25">
      <c r="A82" s="60"/>
      <c r="B82" s="60"/>
      <c r="C82" s="60"/>
      <c r="D82" s="60"/>
      <c r="E82" s="60"/>
      <c r="F82" s="60"/>
      <c r="G82" s="60"/>
      <c r="H82" s="60"/>
      <c r="I82" s="60"/>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row>
    <row r="83" spans="1:45" x14ac:dyDescent="0.25">
      <c r="A83" s="60"/>
      <c r="B83" s="60"/>
      <c r="C83" s="60"/>
      <c r="D83" s="60"/>
      <c r="E83" s="60"/>
      <c r="F83" s="60"/>
      <c r="G83" s="60"/>
      <c r="H83" s="60"/>
      <c r="I83" s="60"/>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row>
    <row r="84" spans="1:45" x14ac:dyDescent="0.25">
      <c r="A84" s="60"/>
      <c r="B84" s="60"/>
      <c r="C84" s="60"/>
      <c r="D84" s="60"/>
      <c r="E84" s="60"/>
      <c r="F84" s="60"/>
      <c r="G84" s="60"/>
      <c r="H84" s="60"/>
      <c r="I84" s="60"/>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row>
    <row r="85" spans="1:45" x14ac:dyDescent="0.25">
      <c r="A85" s="60"/>
      <c r="B85" s="60"/>
      <c r="C85" s="60"/>
      <c r="D85" s="60"/>
      <c r="E85" s="60"/>
      <c r="F85" s="60"/>
      <c r="G85" s="60"/>
      <c r="H85" s="60"/>
      <c r="I85" s="60"/>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row>
    <row r="86" spans="1:45" x14ac:dyDescent="0.25">
      <c r="A86" s="60"/>
      <c r="B86" s="60"/>
      <c r="C86" s="60"/>
      <c r="D86" s="60"/>
      <c r="E86" s="60"/>
      <c r="F86" s="60"/>
      <c r="G86" s="60"/>
      <c r="H86" s="60"/>
      <c r="I86" s="60"/>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row>
    <row r="87" spans="1:45" x14ac:dyDescent="0.25">
      <c r="A87" s="60"/>
      <c r="B87" s="60"/>
      <c r="C87" s="60"/>
      <c r="D87" s="60"/>
      <c r="E87" s="60"/>
      <c r="F87" s="60"/>
      <c r="G87" s="60"/>
      <c r="H87" s="60"/>
      <c r="I87" s="60"/>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row>
    <row r="88" spans="1:45" x14ac:dyDescent="0.25">
      <c r="A88" s="60"/>
      <c r="B88" s="60"/>
      <c r="C88" s="60"/>
      <c r="D88" s="60"/>
      <c r="E88" s="60"/>
      <c r="F88" s="60"/>
      <c r="G88" s="60"/>
      <c r="H88" s="60"/>
      <c r="I88" s="60"/>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row>
    <row r="89" spans="1:45" x14ac:dyDescent="0.25">
      <c r="A89" s="60"/>
      <c r="B89" s="60"/>
      <c r="C89" s="60"/>
      <c r="D89" s="60"/>
      <c r="E89" s="60"/>
      <c r="F89" s="60"/>
      <c r="G89" s="60"/>
      <c r="H89" s="60"/>
      <c r="I89" s="60"/>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row>
    <row r="90" spans="1:45" x14ac:dyDescent="0.25">
      <c r="A90" s="60"/>
      <c r="B90" s="60"/>
      <c r="C90" s="60"/>
      <c r="D90" s="60"/>
      <c r="E90" s="60"/>
      <c r="F90" s="60"/>
      <c r="G90" s="60"/>
      <c r="H90" s="60"/>
      <c r="I90" s="60"/>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row>
    <row r="91" spans="1:45" x14ac:dyDescent="0.25">
      <c r="A91" s="60"/>
      <c r="B91" s="60"/>
      <c r="C91" s="60"/>
      <c r="D91" s="60"/>
      <c r="E91" s="60"/>
      <c r="F91" s="60"/>
      <c r="G91" s="60"/>
      <c r="H91" s="60"/>
      <c r="I91" s="60"/>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row>
    <row r="92" spans="1:45" x14ac:dyDescent="0.25">
      <c r="A92" s="60"/>
      <c r="B92" s="60"/>
      <c r="C92" s="60"/>
      <c r="D92" s="60"/>
      <c r="E92" s="60"/>
      <c r="F92" s="60"/>
      <c r="G92" s="60"/>
      <c r="H92" s="60"/>
      <c r="I92" s="60"/>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row>
    <row r="93" spans="1:45" x14ac:dyDescent="0.25">
      <c r="A93" s="60"/>
      <c r="B93" s="60"/>
      <c r="C93" s="60"/>
      <c r="D93" s="60"/>
      <c r="E93" s="60"/>
      <c r="F93" s="60"/>
      <c r="G93" s="60"/>
      <c r="H93" s="60"/>
      <c r="I93" s="60"/>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row>
    <row r="94" spans="1:45" x14ac:dyDescent="0.25">
      <c r="A94" s="60"/>
      <c r="B94" s="60"/>
      <c r="C94" s="60"/>
      <c r="D94" s="60"/>
      <c r="E94" s="60"/>
      <c r="F94" s="60"/>
      <c r="G94" s="60"/>
      <c r="H94" s="60"/>
      <c r="I94" s="60"/>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row>
    <row r="95" spans="1:45" x14ac:dyDescent="0.25">
      <c r="A95" s="60"/>
      <c r="B95" s="60"/>
      <c r="C95" s="60"/>
      <c r="D95" s="60"/>
      <c r="E95" s="60"/>
      <c r="F95" s="60"/>
      <c r="G95" s="60"/>
      <c r="H95" s="60"/>
      <c r="I95" s="60"/>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row>
    <row r="96" spans="1:45" x14ac:dyDescent="0.25">
      <c r="A96" s="60"/>
      <c r="B96" s="60"/>
      <c r="C96" s="60"/>
      <c r="D96" s="60"/>
      <c r="E96" s="60"/>
      <c r="F96" s="60"/>
      <c r="G96" s="60"/>
      <c r="H96" s="60"/>
      <c r="I96" s="60"/>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row>
    <row r="97" spans="1:45" x14ac:dyDescent="0.25">
      <c r="A97" s="60"/>
      <c r="B97" s="60"/>
      <c r="C97" s="60"/>
      <c r="D97" s="60"/>
      <c r="E97" s="60"/>
      <c r="F97" s="60"/>
      <c r="G97" s="60"/>
      <c r="H97" s="60"/>
      <c r="I97" s="60"/>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row>
    <row r="98" spans="1:45" x14ac:dyDescent="0.25">
      <c r="A98" s="60"/>
      <c r="B98" s="60"/>
      <c r="C98" s="60"/>
      <c r="D98" s="60"/>
      <c r="E98" s="60"/>
      <c r="F98" s="60"/>
      <c r="G98" s="60"/>
      <c r="H98" s="60"/>
      <c r="I98" s="60"/>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row>
    <row r="99" spans="1:45" x14ac:dyDescent="0.25">
      <c r="A99" s="60"/>
      <c r="B99" s="60"/>
      <c r="C99" s="60"/>
      <c r="D99" s="60"/>
      <c r="E99" s="60"/>
      <c r="F99" s="60"/>
      <c r="G99" s="60"/>
      <c r="H99" s="60"/>
      <c r="I99" s="60"/>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row>
    <row r="100" spans="1:45" x14ac:dyDescent="0.25">
      <c r="A100" s="60"/>
      <c r="B100" s="60"/>
      <c r="C100" s="60"/>
      <c r="D100" s="60"/>
      <c r="E100" s="60"/>
      <c r="F100" s="60"/>
      <c r="G100" s="60"/>
      <c r="H100" s="60"/>
      <c r="I100" s="60"/>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row>
    <row r="101" spans="1:45" x14ac:dyDescent="0.25">
      <c r="A101" s="60"/>
      <c r="B101" s="60"/>
      <c r="C101" s="60"/>
      <c r="D101" s="60"/>
      <c r="E101" s="60"/>
      <c r="F101" s="60"/>
      <c r="G101" s="60"/>
      <c r="H101" s="60"/>
      <c r="I101" s="60"/>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row>
    <row r="102" spans="1:45" x14ac:dyDescent="0.25">
      <c r="A102" s="60"/>
      <c r="B102" s="60"/>
      <c r="C102" s="60"/>
      <c r="D102" s="60"/>
      <c r="E102" s="60"/>
      <c r="F102" s="60"/>
      <c r="G102" s="60"/>
      <c r="H102" s="60"/>
      <c r="I102" s="60"/>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row>
  </sheetData>
  <mergeCells count="144">
    <mergeCell ref="AC74:AD74"/>
    <mergeCell ref="AE74:AF74"/>
    <mergeCell ref="AG74:AH74"/>
    <mergeCell ref="AI74:AJ74"/>
    <mergeCell ref="AK74:AL74"/>
    <mergeCell ref="AM74:AN74"/>
    <mergeCell ref="Q74:R74"/>
    <mergeCell ref="S74:T74"/>
    <mergeCell ref="U74:V74"/>
    <mergeCell ref="W74:X74"/>
    <mergeCell ref="Y74:Z74"/>
    <mergeCell ref="AA74:AB74"/>
    <mergeCell ref="AK56:AL56"/>
    <mergeCell ref="AM56:AN56"/>
    <mergeCell ref="A74:B74"/>
    <mergeCell ref="C74:D74"/>
    <mergeCell ref="E74:F74"/>
    <mergeCell ref="G74:H74"/>
    <mergeCell ref="I74:J74"/>
    <mergeCell ref="K74:L74"/>
    <mergeCell ref="M74:N74"/>
    <mergeCell ref="O74:P74"/>
    <mergeCell ref="Y56:Z56"/>
    <mergeCell ref="AA56:AB56"/>
    <mergeCell ref="AC56:AD56"/>
    <mergeCell ref="AE56:AF56"/>
    <mergeCell ref="AG56:AH56"/>
    <mergeCell ref="AI56:AJ56"/>
    <mergeCell ref="M56:N56"/>
    <mergeCell ref="O56:P56"/>
    <mergeCell ref="Q56:R56"/>
    <mergeCell ref="S56:T56"/>
    <mergeCell ref="U56:V56"/>
    <mergeCell ref="W56:X56"/>
    <mergeCell ref="A56:B56"/>
    <mergeCell ref="C56:D56"/>
    <mergeCell ref="E56:F56"/>
    <mergeCell ref="G56:H56"/>
    <mergeCell ref="I56:J56"/>
    <mergeCell ref="K56:L56"/>
    <mergeCell ref="AC36:AD36"/>
    <mergeCell ref="AE36:AF36"/>
    <mergeCell ref="AG36:AH36"/>
    <mergeCell ref="AI36:AJ36"/>
    <mergeCell ref="AK36:AL36"/>
    <mergeCell ref="AM36:AN36"/>
    <mergeCell ref="Q36:R36"/>
    <mergeCell ref="S36:T36"/>
    <mergeCell ref="U36:V36"/>
    <mergeCell ref="W36:X36"/>
    <mergeCell ref="Y36:Z36"/>
    <mergeCell ref="AA36:AB36"/>
    <mergeCell ref="AK29:AL29"/>
    <mergeCell ref="AM29:AN29"/>
    <mergeCell ref="A36:B36"/>
    <mergeCell ref="C36:D36"/>
    <mergeCell ref="E36:F36"/>
    <mergeCell ref="G36:H36"/>
    <mergeCell ref="I36:J36"/>
    <mergeCell ref="K36:L36"/>
    <mergeCell ref="M36:N36"/>
    <mergeCell ref="O36:P36"/>
    <mergeCell ref="Y29:Z29"/>
    <mergeCell ref="AA29:AB29"/>
    <mergeCell ref="AC29:AD29"/>
    <mergeCell ref="AE29:AF29"/>
    <mergeCell ref="AG29:AH29"/>
    <mergeCell ref="AI29:AJ29"/>
    <mergeCell ref="M29:N29"/>
    <mergeCell ref="O29:P29"/>
    <mergeCell ref="Q29:R29"/>
    <mergeCell ref="S29:T29"/>
    <mergeCell ref="U29:V29"/>
    <mergeCell ref="W29:X29"/>
    <mergeCell ref="A29:B29"/>
    <mergeCell ref="C29:D29"/>
    <mergeCell ref="E29:F29"/>
    <mergeCell ref="G29:H29"/>
    <mergeCell ref="I29:J29"/>
    <mergeCell ref="K29:L29"/>
    <mergeCell ref="AC20:AD20"/>
    <mergeCell ref="AE20:AF20"/>
    <mergeCell ref="AG20:AH20"/>
    <mergeCell ref="AI20:AJ20"/>
    <mergeCell ref="AK20:AL20"/>
    <mergeCell ref="AM20:AN20"/>
    <mergeCell ref="Q20:R20"/>
    <mergeCell ref="S20:T20"/>
    <mergeCell ref="U20:V20"/>
    <mergeCell ref="W20:X20"/>
    <mergeCell ref="Y20:Z20"/>
    <mergeCell ref="AA20:AB20"/>
    <mergeCell ref="AK10:AL10"/>
    <mergeCell ref="AM10:AN10"/>
    <mergeCell ref="A20:B20"/>
    <mergeCell ref="C20:D20"/>
    <mergeCell ref="E20:F20"/>
    <mergeCell ref="G20:H20"/>
    <mergeCell ref="I20:J20"/>
    <mergeCell ref="K20:L20"/>
    <mergeCell ref="M20:N20"/>
    <mergeCell ref="O20:P20"/>
    <mergeCell ref="Y10:Z10"/>
    <mergeCell ref="AA10:AB10"/>
    <mergeCell ref="AC10:AD10"/>
    <mergeCell ref="AE10:AF10"/>
    <mergeCell ref="AG10:AH10"/>
    <mergeCell ref="AI10:AJ10"/>
    <mergeCell ref="M10:N10"/>
    <mergeCell ref="O10:P10"/>
    <mergeCell ref="Q10:R10"/>
    <mergeCell ref="S10:T10"/>
    <mergeCell ref="U10:V10"/>
    <mergeCell ref="W10:X10"/>
    <mergeCell ref="A10:B10"/>
    <mergeCell ref="C10:D10"/>
    <mergeCell ref="E10:F10"/>
    <mergeCell ref="G10:H10"/>
    <mergeCell ref="I10:J10"/>
    <mergeCell ref="K10:L10"/>
    <mergeCell ref="AI4:AJ4"/>
    <mergeCell ref="AK4:AL4"/>
    <mergeCell ref="AM4:AN4"/>
    <mergeCell ref="BA4:BB4"/>
    <mergeCell ref="BC4:BD4"/>
    <mergeCell ref="BE4:BF4"/>
    <mergeCell ref="W4:X4"/>
    <mergeCell ref="Y4:Z4"/>
    <mergeCell ref="AA4:AB4"/>
    <mergeCell ref="AC4:AD4"/>
    <mergeCell ref="AE4:AF4"/>
    <mergeCell ref="AG4:AH4"/>
    <mergeCell ref="K4:L4"/>
    <mergeCell ref="M4:N4"/>
    <mergeCell ref="O4:P4"/>
    <mergeCell ref="Q4:R4"/>
    <mergeCell ref="S4:T4"/>
    <mergeCell ref="U4:V4"/>
    <mergeCell ref="A1:J2"/>
    <mergeCell ref="A4:B4"/>
    <mergeCell ref="C4:D4"/>
    <mergeCell ref="E4:F4"/>
    <mergeCell ref="G4:H4"/>
    <mergeCell ref="I4:J4"/>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Key Questions</vt:lpstr>
      <vt:lpstr>Q4 Segments</vt:lpstr>
      <vt:lpstr>Q4 Color-TV</vt:lpstr>
      <vt:lpstr>Key Questions Tally-TV</vt:lpstr>
      <vt:lpstr>Q4 Tally-TV</vt:lpstr>
      <vt:lpstr>Key Questions Tally-TFATJ</vt:lpstr>
      <vt:lpstr>Q4 Tally-TFATJ</vt:lpstr>
      <vt:lpstr>Key Questions Tally-MFTS</vt:lpstr>
      <vt:lpstr>Q4 Tally-MFTS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bianca adolfo</dc:creator>
  <cp:lastModifiedBy>Sharmaine Lim</cp:lastModifiedBy>
  <dcterms:created xsi:type="dcterms:W3CDTF">2017-02-02T04:25:29Z</dcterms:created>
  <dcterms:modified xsi:type="dcterms:W3CDTF">2017-03-05T06:51:26Z</dcterms:modified>
</cp:coreProperties>
</file>